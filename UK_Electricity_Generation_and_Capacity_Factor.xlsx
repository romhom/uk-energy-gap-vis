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Generation (TWh)" sheetId="2" state="visible" r:id="rId2"/>
    <sheet name="Capacity (MW)" sheetId="3" state="visible" r:id="rId3"/>
    <sheet name="Capacity Factor (%)" sheetId="4" state="visible" r:id="rId4"/>
    <sheet name="Curtailment Costs (GBP)"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000"/>
    <numFmt numFmtId="165" formatCode="0.0%"/>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1F2937"/>
      <sz val="18"/>
    </font>
    <font>
      <name val="Arial"/>
      <charset val="1"/>
      <family val="0"/>
      <i val="1"/>
      <color rgb="FF6B7280"/>
      <sz val="12"/>
    </font>
    <font>
      <name val="Arial"/>
      <charset val="1"/>
      <family val="0"/>
      <b val="1"/>
      <color rgb="FF2563EB"/>
      <sz val="12"/>
    </font>
    <font>
      <name val="Arial"/>
      <charset val="1"/>
      <family val="0"/>
      <color rgb="FF000000"/>
      <sz val="11"/>
    </font>
    <font>
      <name val="Arial"/>
      <charset val="1"/>
      <family val="0"/>
      <b val="1"/>
      <color rgb="FFB45309"/>
      <sz val="12"/>
    </font>
    <font>
      <name val="Arial"/>
      <charset val="1"/>
      <family val="0"/>
      <b val="1"/>
      <color rgb="FF1F2937"/>
      <sz val="14"/>
    </font>
    <font>
      <name val="Arial"/>
      <charset val="1"/>
      <family val="0"/>
      <i val="1"/>
      <color rgb="FF6B7280"/>
      <sz val="9"/>
    </font>
    <font>
      <name val="Arial"/>
      <charset val="1"/>
      <family val="0"/>
      <b val="1"/>
      <color rgb="FFFFFFFF"/>
      <sz val="10"/>
    </font>
  </fonts>
  <fills count="6">
    <fill>
      <patternFill/>
    </fill>
    <fill>
      <patternFill patternType="gray125"/>
    </fill>
    <fill>
      <patternFill patternType="solid">
        <fgColor rgb="FF1F2937"/>
        <bgColor rgb="FF333300"/>
      </patternFill>
    </fill>
    <fill>
      <patternFill patternType="solid">
        <fgColor rgb="FFFEF3C7"/>
        <bgColor rgb="FFFEE2E2"/>
      </patternFill>
    </fill>
    <fill>
      <patternFill patternType="solid">
        <fgColor rgb="FFFDE68A"/>
        <bgColor rgb="FFFEF3C7"/>
      </patternFill>
    </fill>
    <fill>
      <patternFill patternType="solid">
        <fgColor rgb="FFFEE2E2"/>
        <bgColor rgb="FFFEF3C7"/>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0" applyAlignment="1" pivotButton="0" quotePrefix="0" xfId="0">
      <alignment horizontal="center" vertical="center" wrapText="1"/>
    </xf>
    <xf numFmtId="0" fontId="0" fillId="0" borderId="1" applyAlignment="1" pivotButton="0" quotePrefix="0" xfId="0">
      <alignment horizontal="general" vertical="bottom"/>
    </xf>
    <xf numFmtId="0" fontId="0" fillId="0" borderId="1" applyAlignment="1" pivotButton="0" quotePrefix="0" xfId="0">
      <alignment horizontal="general" vertical="bottom"/>
    </xf>
    <xf numFmtId="164" fontId="0" fillId="0" borderId="1" applyAlignment="1" pivotButton="0" quotePrefix="0" xfId="0">
      <alignment horizontal="general" vertical="bottom"/>
    </xf>
    <xf numFmtId="164" fontId="0" fillId="3" borderId="1" applyAlignment="1" pivotButton="0" quotePrefix="0" xfId="0">
      <alignment horizontal="general" vertical="bottom"/>
    </xf>
    <xf numFmtId="0" fontId="10" fillId="0" borderId="0" applyAlignment="1" pivotButton="0" quotePrefix="0" xfId="0">
      <alignment horizontal="general" vertical="bottom" wrapText="1"/>
    </xf>
    <xf numFmtId="2" fontId="0" fillId="0" borderId="1" applyAlignment="1" pivotButton="0" quotePrefix="0" xfId="0">
      <alignment horizontal="general" vertical="bottom"/>
    </xf>
    <xf numFmtId="2" fontId="0" fillId="4" borderId="1" applyAlignment="1" pivotButton="0" quotePrefix="0" xfId="0">
      <alignment horizontal="general" vertical="bottom"/>
    </xf>
    <xf numFmtId="165" fontId="0" fillId="0" borderId="1" applyAlignment="1" pivotButton="0" quotePrefix="0" xfId="0">
      <alignment horizontal="general" vertical="bottom"/>
    </xf>
    <xf numFmtId="165" fontId="0" fillId="5" borderId="1" applyAlignment="1" pivotButton="0" quotePrefix="0" xfId="0">
      <alignment horizontal="general" vertical="bottom"/>
    </xf>
    <xf numFmtId="3" fontId="0" fillId="0" borderId="1" applyAlignment="1" pivotButton="0" quotePrefix="0" xfId="0">
      <alignment horizontal="general" vertical="bottom"/>
    </xf>
    <xf numFmtId="3" fontId="0" fillId="5"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0" applyAlignment="1" pivotButton="0" quotePrefix="0" xfId="0">
      <alignment horizontal="center" vertical="center" wrapText="1"/>
    </xf>
    <xf numFmtId="0" fontId="0" fillId="0" borderId="1" applyAlignment="1" pivotButton="0" quotePrefix="0" xfId="0">
      <alignment horizontal="general" vertical="bottom"/>
    </xf>
    <xf numFmtId="164" fontId="0" fillId="0" borderId="1" applyAlignment="1" pivotButton="0" quotePrefix="0" xfId="0">
      <alignment horizontal="general" vertical="bottom"/>
    </xf>
    <xf numFmtId="164" fontId="0" fillId="3" borderId="1" applyAlignment="1" pivotButton="0" quotePrefix="0" xfId="0">
      <alignment horizontal="general" vertical="bottom"/>
    </xf>
    <xf numFmtId="0" fontId="10" fillId="0" borderId="0" applyAlignment="1" pivotButton="0" quotePrefix="0" xfId="0">
      <alignment horizontal="general" vertical="bottom" wrapText="1"/>
    </xf>
    <xf numFmtId="2" fontId="0" fillId="0" borderId="1" applyAlignment="1" pivotButton="0" quotePrefix="0" xfId="0">
      <alignment horizontal="general" vertical="bottom"/>
    </xf>
    <xf numFmtId="2" fontId="0" fillId="4" borderId="1" applyAlignment="1" pivotButton="0" quotePrefix="0" xfId="0">
      <alignment horizontal="general" vertical="bottom"/>
    </xf>
    <xf numFmtId="165" fontId="0" fillId="0" borderId="1" applyAlignment="1" pivotButton="0" quotePrefix="0" xfId="0">
      <alignment horizontal="general" vertical="bottom"/>
    </xf>
    <xf numFmtId="165" fontId="0" fillId="5" borderId="1" applyAlignment="1" pivotButton="0" quotePrefix="0" xfId="0">
      <alignment horizontal="general" vertical="bottom"/>
    </xf>
    <xf numFmtId="3" fontId="0" fillId="0" borderId="1" applyAlignment="1" pivotButton="0" quotePrefix="0" xfId="0">
      <alignment horizontal="general" vertical="bottom"/>
    </xf>
    <xf numFmtId="3" fontId="0" fillId="5"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CCFF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DE68A"/>
      <rgbColor rgb="FF99CCFF"/>
      <rgbColor rgb="FFFF99CC"/>
      <rgbColor rgb="FFCC99FF"/>
      <rgbColor rgb="FFFEE2E2"/>
      <rgbColor rgb="FF2563EB"/>
      <rgbColor rgb="FF33CCCC"/>
      <rgbColor rgb="FF99CC00"/>
      <rgbColor rgb="FFFFCC00"/>
      <rgbColor rgb="FFFF9900"/>
      <rgbColor rgb="FFFF6600"/>
      <rgbColor rgb="FF6B7280"/>
      <rgbColor rgb="FF969696"/>
      <rgbColor rgb="FF003366"/>
      <rgbColor rgb="FF339966"/>
      <rgbColor rgb="FF003300"/>
      <rgbColor rgb="FF333300"/>
      <rgbColor rgb="FFB45309"/>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2:B3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21" min="1" max="1"/>
    <col width="100" customWidth="1" style="21" min="2" max="2"/>
  </cols>
  <sheetData>
    <row r="2" ht="21.75" customHeight="1" s="22">
      <c r="B2" s="23" t="inlineStr">
        <is>
          <t>UK Electricity Generation &amp; Capacity Factor Dataset</t>
        </is>
      </c>
    </row>
    <row r="3" ht="15" customHeight="1" s="22">
      <c r="B3" s="24" t="inlineStr">
        <is>
          <t>Quarterly, 2000 - present, all generating companies</t>
        </is>
      </c>
    </row>
    <row r="5" ht="15" customHeight="1" s="22">
      <c r="B5" s="25" t="inlineStr">
        <is>
          <t>WORKBOOK STRUCTURE</t>
        </is>
      </c>
    </row>
    <row r="6" ht="51.75" customHeight="1" s="22">
      <c r="B6" s="26" t="inlineStr">
        <is>
          <t>1. Cover (this sheet) - sources, methodology, notes
2. Generation (TWh) - quarterly electricity generated by fuel/technology, Q1 2000-present
3. Capacity (MW) - installed nameplate capacity by fuel/technology, Q1 2000-present
4. Capacity Factor (%) - live formula: Generation / Capacity / hours in quarter</t>
        </is>
      </c>
    </row>
    <row r="8" ht="15" customHeight="1" s="22">
      <c r="B8" s="25" t="inlineStr">
        <is>
          <t>GENERATION - PRIMARY SOURCE</t>
        </is>
      </c>
    </row>
    <row r="9" ht="51.75" customHeight="1" s="22">
      <c r="B9" s="26" t="inlineStr">
        <is>
          <t>DESNZ, Energy Trends Table 5.1 (quarterly). File: ET_5_1_JUN_26.xlsx, published 30 June 2026. Sheet "Quarter", Table 5.1b "Electricity generated by fuel (TWh)", "All generating companies" rows. Covers Q1 2000 to Q1 2026 (Q1 2026 provisional).
https://www.gov.uk/government/statistics/electricity-section-5-energy-trends</t>
        </is>
      </c>
    </row>
    <row r="11" ht="15" customHeight="1" s="22">
      <c r="B11" s="25" t="inlineStr">
        <is>
          <t>GENERATION - RENEWABLES BACKFILL, 2000-2009</t>
        </is>
      </c>
    </row>
    <row r="12" ht="102.75" customHeight="1" s="22">
      <c r="B12" s="26" t="inlineStr">
        <is>
          <t>DESNZ, DUKES Table 6.2 "Capacity of, and electricity generated from, renewable sources". File: DUKES_6_2.xlsx, published 31 July 2025, annual data 1990-2024.
ET 5.1 only separately reports Onshore wind, Offshore wind, Solar and Shoreline wave/tidal from Q1 2010 onward. DUKES 6.2 has annual generation figures for all four back to 1990, used to backfill 2000-2009: each annual GWh figure was converted to TWh and divided evenly by 4 across that year's quarters (a simplification, not a seasonal estimate - see the Generation sheet's yellow-highlighted cells and the genuine 2010 data for comparison). Validated against ET 5.1 at the 2010 boundary for all four series (each matched within rounding).</t>
        </is>
      </c>
    </row>
    <row r="14" ht="15" customHeight="1" s="22">
      <c r="B14" s="27" t="inlineStr">
        <is>
          <t>CAPACITY - SOURCES AND AN IMPORTANT CORRECTION</t>
        </is>
      </c>
    </row>
    <row r="15" ht="204" customHeight="1" s="22">
      <c r="B15" s="26" t="inlineStr">
        <is>
          <t>Coal, Oil, Gas, Nuclear, Pumped storage and Other fuels capacity: DESNZ DUKES Table 5.7 "Plant capacity: United Kingdom", "All generating companies" rows, annual 1996-2024.
Onshore wind, Offshore wind, Solar, Shoreline wave/tidal and Hydro capacity: DESNZ DUKES Table 6.2 "Installed Capacity" table, annual 1990-2024 - NOT Table 5.7.
Why two different sources for capacity: DUKES 5.7 is explicitly a DE-RATED capacity table (its own cover sheet states wind, solar and small-scale hydro capacity are de-rated for intermittency, by factors of 0.43, 0.17 and 0.365 respectively - DUKES 5.7 Note 4). This is correct for DESNZ's own purpose (grid security/adequacy planning) but WRONG as a denominator for capacity factor, which needs true nameplate capacity. Using DUKES 5.7's de-rated wind/solar figures initially produced impossible capacity factors above 100% (offshore wind exceeded 100% in numerous winter quarters; the de-rating factors of 0.43 and 0.17 line up almost exactly with the resulting error ratios). DUKES 6.2's "Installed Capacity" table is NOT de-rated and gives genuine nameplate MW, confirmed by cross-checking 2024 offshore wind (15,836 MW here) against independently reported UK offshore wind capacity (~16 GW) - a match. Coal/Oil/Gas/Nuclear are not de-rated in DUKES 5.7 (de-rating only applies to wind/solar/small-hydro per Note 4), so those remain sourced from Table 5.7 as before.</t>
        </is>
      </c>
    </row>
    <row r="17" ht="15" customHeight="1" s="22">
      <c r="B17" s="27" t="inlineStr">
        <is>
          <t>CAPACITY - 2025/2026 FORWARD-FILL</t>
        </is>
      </c>
    </row>
    <row r="18" ht="64.5" customHeight="1" s="22">
      <c r="B18" s="26" t="inlineStr">
        <is>
          <t>Both DUKES 5.7 and 6.2's most recent year is 2024 (2025 data publishes July 2026, after this workbook was built). Capacity for 2025 and Q1 2026 has been forward-filled from the 2024 figure and is flagged in the "capacity forward filled" column on the Capacity sheet. This will understate true capacity for any technology that grew significantly in 2025 (notably offshore wind) - treat 2025/2026 capacity factor figures with more caution than earlier years until this is updated with real DUKES 2025 data.</t>
        </is>
      </c>
    </row>
    <row r="20" ht="15" customHeight="1" s="22">
      <c r="B20" s="25" t="inlineStr">
        <is>
          <t>CAPACITY - ANNUAL-TO-QUARTERLY REPETITION</t>
        </is>
      </c>
    </row>
    <row r="21" ht="102.75" customHeight="1" s="22">
      <c r="B21" s="26" t="inlineStr">
        <is>
          <t>DUKES publishes capacity annually only (as at end of December); each year's figure is repeated across its four quarters. This is standard practice and not a simplification in the same sense as the generation backfill, since capacity does not have within-year seasonality - it only changes when plants are built, retired or re-rated. The one place this breaks down noticeably is COAL IN 2024: the UK's last coal plant (Ratcliffe-on-Soar) closed in September 2024, so the end-of-year 2024 capacity figure (18 MW) is far below the capacity that actually existed and generated in Q1-Q3 2024. This produces an inflated (and clearly wrong) coal capacity factor for 2024 on the Capacity Factor sheet - a known artefact of annual-only capacity data during a rapid in-year closure, not a data error. Treat 2024 coal capacity factor as unreliable.</t>
        </is>
      </c>
    </row>
    <row r="23" ht="15" customHeight="1" s="22">
      <c r="B23" s="25" t="inlineStr">
        <is>
          <t>CAPACITY FACTOR - METHOD</t>
        </is>
      </c>
    </row>
    <row r="24" ht="64.5" customHeight="1" s="22">
      <c r="B24" s="26" t="inlineStr">
        <is>
          <t>Live formula on the Capacity Factor sheet: Capacity Factor = Generation (TWh) x 1,000,000 / (Capacity (MW) x hours in quarter). Hours in quarter is calculated exactly per calendar quarter, accounting for leap years. Formulas reference the Generation and Capacity sheets directly by row, so the sheet recalculates automatically if source data is edited. Cells show "n/a" where capacity is not available (Battery storage, throughout).</t>
        </is>
      </c>
    </row>
    <row r="26" ht="15" customHeight="1" s="22">
      <c r="B26" s="25" t="inlineStr">
        <is>
          <t>VALIDATION AGAINST DESNZ'S OWN PUBLISHED LOAD FACTORS</t>
        </is>
      </c>
    </row>
    <row r="27" ht="153" customHeight="1" s="22">
      <c r="B27" s="26" t="inlineStr">
        <is>
          <t>Cross-checked against DESNZ's own published 2024 load factors (DUKES Table 6.3 for renewables, commentary in DUKES Chapter 5/6 for others):
Offshore wind: this workbook computes 35.2% for 2024; DESNZ's published figure is 36.6% - a close match (within 1.4 points), and both show the same year-on-year decline from 2023 (44.8% to 36.6% per DESNZ; 38.5% to 35.2% here).
Solar: this workbook computes 9.4% for 2024; DESNZ states solar's 2024 load factor "slipped below 10 per cent" - matches.
Nuclear generation: this workbook sums 40.59 TWh for 2024; DESNZ states 2024 nuclear generation was 40.6 TWh - matches almost exactly, confirming the generation-side data is correct.
Nuclear capacity factor: this workbook computes 78.5% for 2024 vs DESNZ's published 72.3% - a ~6pp gap. Since generation matches almost exactly, the gap is in the capacity denominator. UK nuclear capacity is quoted under two different conventions depending on source: DUKES 5.7's own methodology note states it uses grid export/transmission entry capacity where available (net of the plant's own house-load), giving 5,883 MW for 2024 - the figure used in this workbook. Other sources (e.g. Wikipedia's UK energy overview) cite total installed/nameplate nuclear capacity as approximately 6.8 GW - a larger, gross figure. DESNZ's own headline load-factor statistic (DUKES Table 5.10, not obtained for this workbook) most likely uses this larger capacity basis, which would mechanically produce a lower load factor than one calculated from Table 5.7's smaller net export figure - consistent with the direction and rough size of the gap seen here. This is a genuine convention difference in how UK nuclear capacity is reported, not an error in the generation or capacity figures themselves, both of which are taken directly from official DESNZ publications.
Gas: no independent single-fuel benchmark was found to check against directly.</t>
        </is>
      </c>
    </row>
    <row r="28" ht="15" customHeight="1" s="22">
      <c r="B28" s="26" t="n"/>
    </row>
    <row r="29" ht="15" customHeight="1" s="22">
      <c r="B29" s="27" t="inlineStr">
        <is>
          <t>KNOWN LIMITATIONS - PLEASE READ BEFORE USING</t>
        </is>
      </c>
    </row>
    <row r="30" ht="51.75" customHeight="1" s="22">
      <c r="B30" s="26" t="inlineStr">
        <is>
          <t>• Coal capacity factor for 2024 is unreliable (see above - in-year plant closure not captured by annual capacity data).
• "Other fuels" capacity factor is unreliable in recent years: ET 5.1's "Other fuels" generation category and DUKES 5.7's "Mixed or dual fuelled" + "Other fossil fuels" capacity category are not perfectly aligned definitions, and both have shrunk to near-zero in different years, which can produce large swings or inflated percentages. Treat with caution; a proper fix would need a category-by-category reconciliation between the two source tables.
• Battery storage: no generation before Q1 2017 and no capacity series available at all - left as not available throughout.
• 2000-2009 onshore/offshore wind, solar and marine generation are quarter-evenly-split annual estimates, not directly reported quarterly figures (see Generation sheet, yellow cells).
• 2025-2026 capacity is forward-filled from 2024 (see above).</t>
        </is>
      </c>
    </row>
    <row r="32" ht="15" customHeight="1" s="22">
      <c r="B32" s="25" t="inlineStr">
        <is>
          <t>CURTAILMENT / CONSTRAINT COSTS - SOURCE (CORRECTED, COMPLETE)</t>
        </is>
      </c>
    </row>
    <row r="33" ht="51.75" customHeight="1" s="22">
      <c r="B33" s="26" t="inlineStr">
        <is>
          <t>NESO "Constraint Breakdown" dataset, daily system balancing costs split into four categories: Thermal constraints, Voltage constraints, Increasing system inertia, Reducing largest loss. Files: constraint-breakdown-YYYY-YYYY.csv, financial years 2017/18 through 2025/26 (complete, no gaps).
https://www.neso.energy/data-portal/constraint-breakdown
Coverage: 1 April 2017 to 31 March 2026, aggregated from daily to quarterly. One single day (8 April 2025) is missing from the underlying daily data due to a gap between source files; negligible at quarterly aggregation.</t>
        </is>
      </c>
    </row>
    <row r="34" ht="15" customHeight="1" s="22">
      <c r="B34" s="27" t="inlineStr">
        <is>
          <t>IMPORTANT: THIS REPLACES AN EARLIER, INCORRECT VERSION OF THIS SHEET</t>
        </is>
      </c>
    </row>
    <row r="35" ht="15" customHeight="1" s="22">
      <c r="B35" s="26" t="inlineStr">
        <is>
          <t>An earlier version of this sheet used NESO's separate "Thermal Constraint Costs" dataset (outturn-system-costs-*.csv, by named boundary group), which turned out to significantly UNDERCOUNT the true cost - that dataset explicitly covers only "a number of significant" named boundaries, not the full national total. This was caught by cross-checking against NESO's own published headline figures: NESO's Annual Balancing Costs Report states thermal constraint costs were approximately £1.7bn in FY2024/25 and £1.04bn in FY2023/24. Summing this dataset's "Thermal constraints cost" column for the same periods gives £1,710,004,055 and £1,039,607,071 respectively - matching almost exactly. The earlier boundary-group dataset gave only £555.8m and £506.3m for the same two years - roughly a 2-3x undercount. This dataset (Constraint Breakdown) is the validated, correct source.</t>
        </is>
      </c>
    </row>
    <row r="36" ht="102.75" customHeight="1" s="22">
      <c r="B36" s="25" t="inlineStr">
        <is>
          <t>WHAT THIS MEASURES</t>
        </is>
      </c>
    </row>
    <row r="37" ht="15" customHeight="1" s="22">
      <c r="B37" s="26" t="inlineStr">
        <is>
          <t>Total system balancing cost from four types of network constraint action: Thermal (managing transmission line capacity limits - the dominant category and the one most directly linked to wind curtailment), Voltage, Increasing system inertia, and Reducing largest loss. This is the FULL cost - both paying generators (mostly wind, in Scotland) to reduce output and paying other generators (mostly gas, in England) to increase output elsewhere to compensate.</t>
        </is>
      </c>
    </row>
    <row r="38" ht="15" customHeight="1" s="22">
      <c r="B38" s="27" t="inlineStr">
        <is>
          <t>KNOWN LIMITATIONS</t>
        </is>
      </c>
    </row>
    <row r="39" ht="102.75" customHeight="1" s="22">
      <c r="B39" s="26" t="inlineStr">
        <is>
          <t>• SPIKE: Q4 2021 shows an unusually large total cost (£697m, driven mainly by a £627m thermal constraint figure) - flagged red on the Curtailment sheet rather than smoothed or treated as an error. Plausibly linked to a significant grid event in that period (e.g. the North Sea Link/IFA interconnector and transmission issues around that time); not independently verified against news reporting as part of this workbook.
• Data starts Q2 2017 (1 April 2017) - does not extend back to 2000 like the rest of the workbook. Only compare against the Generation/Capacity/Capacity Factor sheets for the overlapping window (2017-2026).
• This is total constraint cost, not solely payments to wind farms - includes compensation paid to replacement generation (mostly gas) as well as the curtailed generator itself.
• Q1 2026 capacity/generation figures elsewhere in this workbook are provisional/forward-filled; bear this in mind if comparing the very latest quarter across sheets.</t>
        </is>
      </c>
    </row>
    <row r="40" ht="15" customHeight="1" s="22"/>
    <row r="41" ht="15" customHeight="1" s="22"/>
    <row r="42" ht="115.5" customHeight="1" s="22"/>
    <row r="43" ht="15" customHeight="1" s="22"/>
    <row r="44" ht="115.5" customHeight="1" s="22"/>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111"/>
  <sheetViews>
    <sheetView showFormulas="0" showGridLines="0"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8" customWidth="1" style="21" min="1" max="1"/>
    <col width="9" customWidth="1" style="21" min="2" max="2"/>
    <col width="11" customWidth="1" style="21" min="3" max="3"/>
    <col width="13" customWidth="1" style="21" min="4" max="21"/>
  </cols>
  <sheetData>
    <row r="1" ht="17.25" customHeight="1" s="22">
      <c r="A1" s="28" t="inlineStr">
        <is>
          <t>UK Electricity Generation by Fuel (TWh) - Quarterly, All Generating Companies</t>
        </is>
      </c>
    </row>
    <row r="2" ht="15" customHeight="1" s="22">
      <c r="A2" s="29" t="inlineStr">
        <is>
          <t>Source: DESNZ Energy Trends Table 5.1 (2010+ splits); DUKES Table 6.2 backfill (2000-2009, wind/solar/marine). See Cover sheet.</t>
        </is>
      </c>
    </row>
    <row r="4" ht="34.5" customHeight="1" s="22">
      <c r="A4" s="30" t="inlineStr">
        <is>
          <t>Year</t>
        </is>
      </c>
      <c r="B4" s="30" t="inlineStr">
        <is>
          <t>Quarter</t>
        </is>
      </c>
      <c r="C4" s="30" t="inlineStr">
        <is>
          <t>Provisional</t>
        </is>
      </c>
      <c r="D4" s="30" t="inlineStr">
        <is>
          <t>Coal</t>
        </is>
      </c>
      <c r="E4" s="30" t="inlineStr">
        <is>
          <t>Oil</t>
        </is>
      </c>
      <c r="F4" s="30" t="inlineStr">
        <is>
          <t>Gas</t>
        </is>
      </c>
      <c r="G4" s="30" t="inlineStr">
        <is>
          <t>Nuclear</t>
        </is>
      </c>
      <c r="H4" s="30" t="inlineStr">
        <is>
          <t>Hydro (natural flow)</t>
        </is>
      </c>
      <c r="I4" s="30" t="inlineStr">
        <is>
          <t>Onshore wind</t>
        </is>
      </c>
      <c r="J4" s="30" t="inlineStr">
        <is>
          <t>Offshore wind</t>
        </is>
      </c>
      <c r="K4" s="30" t="inlineStr">
        <is>
          <t>Shoreline wave / tidal</t>
        </is>
      </c>
      <c r="L4" s="30" t="inlineStr">
        <is>
          <t>Solar</t>
        </is>
      </c>
      <c r="M4" s="30" t="inlineStr">
        <is>
          <t>Bioenergy</t>
        </is>
      </c>
      <c r="N4" s="30" t="inlineStr">
        <is>
          <t>Other fuels</t>
        </is>
      </c>
      <c r="O4" s="30" t="inlineStr">
        <is>
          <t>Pumped storage</t>
        </is>
      </c>
      <c r="P4" s="30" t="inlineStr">
        <is>
          <t>Battery storage</t>
        </is>
      </c>
      <c r="Q4" s="30" t="inlineStr">
        <is>
          <t>Total all generating companies</t>
        </is>
      </c>
      <c r="R4" s="30" t="inlineStr">
        <is>
          <t>Onshore wind backfilled</t>
        </is>
      </c>
      <c r="S4" s="30" t="inlineStr">
        <is>
          <t>Offshore wind backfilled</t>
        </is>
      </c>
      <c r="T4" s="30" t="inlineStr">
        <is>
          <t>Solar backfilled</t>
        </is>
      </c>
      <c r="U4" s="30" t="inlineStr">
        <is>
          <t>Marine backfilled</t>
        </is>
      </c>
    </row>
    <row r="5" ht="15" customHeight="1" s="22">
      <c r="A5" s="31" t="n">
        <v>2000</v>
      </c>
      <c r="B5" s="31" t="n">
        <v>1</v>
      </c>
      <c r="C5" s="31">
        <f>FALSE()</f>
        <v/>
      </c>
      <c r="D5" s="32" t="n">
        <v>32.5625</v>
      </c>
      <c r="E5" s="32" t="n">
        <v>1.8032</v>
      </c>
      <c r="F5" s="32" t="n">
        <v>40.8957</v>
      </c>
      <c r="G5" s="32" t="n">
        <v>22.9725</v>
      </c>
      <c r="H5" s="32" t="n">
        <v>2.1272</v>
      </c>
      <c r="I5" s="33" t="n">
        <v>0.2362</v>
      </c>
      <c r="J5" s="33" t="n">
        <v>0.0002</v>
      </c>
      <c r="K5" s="33" t="n">
        <v>0</v>
      </c>
      <c r="L5" s="33" t="n">
        <v>0.0003</v>
      </c>
      <c r="M5" s="32" t="n">
        <v>1.0836</v>
      </c>
      <c r="N5" s="32" t="n">
        <v>1.116</v>
      </c>
      <c r="O5" s="32" t="n">
        <v>0.6954</v>
      </c>
      <c r="P5" s="32" t="inlineStr">
        <is>
          <t>[x]</t>
        </is>
      </c>
      <c r="Q5" s="32" t="n">
        <v>103.4814</v>
      </c>
      <c r="R5" s="31">
        <f>TRUE()</f>
        <v/>
      </c>
      <c r="S5" s="31">
        <f>TRUE()</f>
        <v/>
      </c>
      <c r="T5" s="31">
        <f>TRUE()</f>
        <v/>
      </c>
      <c r="U5" s="31">
        <f>TRUE()</f>
        <v/>
      </c>
    </row>
    <row r="6" ht="15" customHeight="1" s="22">
      <c r="A6" s="31" t="n">
        <v>2000</v>
      </c>
      <c r="B6" s="31" t="n">
        <v>2</v>
      </c>
      <c r="C6" s="31">
        <f>FALSE()</f>
        <v/>
      </c>
      <c r="D6" s="32" t="n">
        <v>26.5675</v>
      </c>
      <c r="E6" s="32" t="n">
        <v>1.5093</v>
      </c>
      <c r="F6" s="32" t="n">
        <v>35.4085</v>
      </c>
      <c r="G6" s="32" t="n">
        <v>21.073</v>
      </c>
      <c r="H6" s="32" t="n">
        <v>0.6813</v>
      </c>
      <c r="I6" s="33" t="n">
        <v>0.2362</v>
      </c>
      <c r="J6" s="33" t="n">
        <v>0.0002</v>
      </c>
      <c r="K6" s="33" t="n">
        <v>0</v>
      </c>
      <c r="L6" s="33" t="n">
        <v>0.0003</v>
      </c>
      <c r="M6" s="32" t="n">
        <v>1.017</v>
      </c>
      <c r="N6" s="32" t="n">
        <v>1.3754</v>
      </c>
      <c r="O6" s="32" t="n">
        <v>0.6437</v>
      </c>
      <c r="P6" s="32" t="inlineStr">
        <is>
          <t>[x]</t>
        </is>
      </c>
      <c r="Q6" s="32" t="n">
        <v>88.5067</v>
      </c>
      <c r="R6" s="31">
        <f>TRUE()</f>
        <v/>
      </c>
      <c r="S6" s="31">
        <f>TRUE()</f>
        <v/>
      </c>
      <c r="T6" s="31">
        <f>TRUE()</f>
        <v/>
      </c>
      <c r="U6" s="31">
        <f>TRUE()</f>
        <v/>
      </c>
    </row>
    <row r="7" ht="15" customHeight="1" s="22">
      <c r="A7" s="31" t="n">
        <v>2000</v>
      </c>
      <c r="B7" s="31" t="n">
        <v>3</v>
      </c>
      <c r="C7" s="31">
        <f>FALSE()</f>
        <v/>
      </c>
      <c r="D7" s="32" t="n">
        <v>25.3221</v>
      </c>
      <c r="E7" s="32" t="n">
        <v>1.4077</v>
      </c>
      <c r="F7" s="32" t="n">
        <v>34.7805</v>
      </c>
      <c r="G7" s="32" t="n">
        <v>19.7057</v>
      </c>
      <c r="H7" s="32" t="n">
        <v>0.5747</v>
      </c>
      <c r="I7" s="33" t="n">
        <v>0.2362</v>
      </c>
      <c r="J7" s="33" t="n">
        <v>0.0002</v>
      </c>
      <c r="K7" s="33" t="n">
        <v>0</v>
      </c>
      <c r="L7" s="33" t="n">
        <v>0.0003</v>
      </c>
      <c r="M7" s="32" t="n">
        <v>1.1123</v>
      </c>
      <c r="N7" s="32" t="n">
        <v>0.7226</v>
      </c>
      <c r="O7" s="32" t="n">
        <v>0.6319</v>
      </c>
      <c r="P7" s="32" t="inlineStr">
        <is>
          <t>[x]</t>
        </is>
      </c>
      <c r="Q7" s="32" t="n">
        <v>84.50069999999999</v>
      </c>
      <c r="R7" s="31">
        <f>TRUE()</f>
        <v/>
      </c>
      <c r="S7" s="31">
        <f>TRUE()</f>
        <v/>
      </c>
      <c r="T7" s="31">
        <f>TRUE()</f>
        <v/>
      </c>
      <c r="U7" s="31">
        <f>TRUE()</f>
        <v/>
      </c>
    </row>
    <row r="8" ht="15" customHeight="1" s="22">
      <c r="A8" s="31" t="n">
        <v>2000</v>
      </c>
      <c r="B8" s="31" t="n">
        <v>4</v>
      </c>
      <c r="C8" s="31">
        <f>FALSE()</f>
        <v/>
      </c>
      <c r="D8" s="32" t="n">
        <v>35.4977</v>
      </c>
      <c r="E8" s="32" t="n">
        <v>1.8039</v>
      </c>
      <c r="F8" s="32" t="n">
        <v>36.9919</v>
      </c>
      <c r="G8" s="32" t="n">
        <v>21.3116</v>
      </c>
      <c r="H8" s="32" t="n">
        <v>1.7025</v>
      </c>
      <c r="I8" s="33" t="n">
        <v>0.2362</v>
      </c>
      <c r="J8" s="33" t="n">
        <v>0.0002</v>
      </c>
      <c r="K8" s="33" t="n">
        <v>0</v>
      </c>
      <c r="L8" s="33" t="n">
        <v>0.0003</v>
      </c>
      <c r="M8" s="32" t="n">
        <v>1.1152</v>
      </c>
      <c r="N8" s="32" t="n">
        <v>1.187</v>
      </c>
      <c r="O8" s="32" t="n">
        <v>0.7234</v>
      </c>
      <c r="P8" s="32" t="inlineStr">
        <is>
          <t>[x]</t>
        </is>
      </c>
      <c r="Q8" s="32" t="n">
        <v>100.5805</v>
      </c>
      <c r="R8" s="31">
        <f>TRUE()</f>
        <v/>
      </c>
      <c r="S8" s="31">
        <f>TRUE()</f>
        <v/>
      </c>
      <c r="T8" s="31">
        <f>TRUE()</f>
        <v/>
      </c>
      <c r="U8" s="31">
        <f>TRUE()</f>
        <v/>
      </c>
    </row>
    <row r="9" ht="15" customHeight="1" s="22">
      <c r="A9" s="31" t="n">
        <v>2001</v>
      </c>
      <c r="B9" s="31" t="n">
        <v>1</v>
      </c>
      <c r="C9" s="31">
        <f>FALSE()</f>
        <v/>
      </c>
      <c r="D9" s="32" t="n">
        <v>41.0145</v>
      </c>
      <c r="E9" s="32" t="n">
        <v>1.9467</v>
      </c>
      <c r="F9" s="32" t="n">
        <v>37.4734</v>
      </c>
      <c r="G9" s="32" t="n">
        <v>22.7801</v>
      </c>
      <c r="H9" s="32" t="n">
        <v>1.0382</v>
      </c>
      <c r="I9" s="33" t="n">
        <v>0.24</v>
      </c>
      <c r="J9" s="33" t="n">
        <v>0.0012</v>
      </c>
      <c r="K9" s="33" t="n">
        <v>0</v>
      </c>
      <c r="L9" s="33" t="n">
        <v>0.0005</v>
      </c>
      <c r="M9" s="32" t="n">
        <v>1.163</v>
      </c>
      <c r="N9" s="32" t="n">
        <v>0.9424</v>
      </c>
      <c r="O9" s="32" t="n">
        <v>0.6815</v>
      </c>
      <c r="P9" s="32" t="inlineStr">
        <is>
          <t>[x]</t>
        </is>
      </c>
      <c r="Q9" s="32" t="n">
        <v>107.2868</v>
      </c>
      <c r="R9" s="31">
        <f>TRUE()</f>
        <v/>
      </c>
      <c r="S9" s="31">
        <f>TRUE()</f>
        <v/>
      </c>
      <c r="T9" s="31">
        <f>TRUE()</f>
        <v/>
      </c>
      <c r="U9" s="31">
        <f>TRUE()</f>
        <v/>
      </c>
    </row>
    <row r="10" ht="15" customHeight="1" s="22">
      <c r="A10" s="31" t="n">
        <v>2001</v>
      </c>
      <c r="B10" s="31" t="n">
        <v>2</v>
      </c>
      <c r="C10" s="31">
        <f>FALSE()</f>
        <v/>
      </c>
      <c r="D10" s="32" t="n">
        <v>29.1334</v>
      </c>
      <c r="E10" s="32" t="n">
        <v>1.3971</v>
      </c>
      <c r="F10" s="32" t="n">
        <v>35.9075</v>
      </c>
      <c r="G10" s="32" t="n">
        <v>20.1834</v>
      </c>
      <c r="H10" s="32" t="n">
        <v>0.5784</v>
      </c>
      <c r="I10" s="33" t="n">
        <v>0.24</v>
      </c>
      <c r="J10" s="33" t="n">
        <v>0.0012</v>
      </c>
      <c r="K10" s="33" t="n">
        <v>0</v>
      </c>
      <c r="L10" s="33" t="n">
        <v>0.0005</v>
      </c>
      <c r="M10" s="32" t="n">
        <v>1.2253</v>
      </c>
      <c r="N10" s="32" t="n">
        <v>0.9043</v>
      </c>
      <c r="O10" s="32" t="n">
        <v>0.368</v>
      </c>
      <c r="P10" s="32" t="inlineStr">
        <is>
          <t>[x]</t>
        </is>
      </c>
      <c r="Q10" s="32" t="n">
        <v>89.93259999999999</v>
      </c>
      <c r="R10" s="31">
        <f>TRUE()</f>
        <v/>
      </c>
      <c r="S10" s="31">
        <f>TRUE()</f>
        <v/>
      </c>
      <c r="T10" s="31">
        <f>TRUE()</f>
        <v/>
      </c>
      <c r="U10" s="31">
        <f>TRUE()</f>
        <v/>
      </c>
    </row>
    <row r="11" ht="15" customHeight="1" s="22">
      <c r="A11" s="31" t="n">
        <v>2001</v>
      </c>
      <c r="B11" s="31" t="n">
        <v>3</v>
      </c>
      <c r="C11" s="31">
        <f>FALSE()</f>
        <v/>
      </c>
      <c r="D11" s="32" t="n">
        <v>26.0037</v>
      </c>
      <c r="E11" s="32" t="n">
        <v>0.7744</v>
      </c>
      <c r="F11" s="32" t="n">
        <v>32.9445</v>
      </c>
      <c r="G11" s="32" t="n">
        <v>22.3834</v>
      </c>
      <c r="H11" s="32" t="n">
        <v>0.6334</v>
      </c>
      <c r="I11" s="33" t="n">
        <v>0.24</v>
      </c>
      <c r="J11" s="33" t="n">
        <v>0.0012</v>
      </c>
      <c r="K11" s="33" t="n">
        <v>0</v>
      </c>
      <c r="L11" s="33" t="n">
        <v>0.0005</v>
      </c>
      <c r="M11" s="32" t="n">
        <v>1.3153</v>
      </c>
      <c r="N11" s="32" t="n">
        <v>0.8752</v>
      </c>
      <c r="O11" s="32" t="n">
        <v>0.5732</v>
      </c>
      <c r="P11" s="32" t="inlineStr">
        <is>
          <t>[x]</t>
        </is>
      </c>
      <c r="Q11" s="32" t="n">
        <v>85.7363</v>
      </c>
      <c r="R11" s="31">
        <f>TRUE()</f>
        <v/>
      </c>
      <c r="S11" s="31">
        <f>TRUE()</f>
        <v/>
      </c>
      <c r="T11" s="31">
        <f>TRUE()</f>
        <v/>
      </c>
      <c r="U11" s="31">
        <f>TRUE()</f>
        <v/>
      </c>
    </row>
    <row r="12" ht="15" customHeight="1" s="22">
      <c r="A12" s="31" t="n">
        <v>2001</v>
      </c>
      <c r="B12" s="31" t="n">
        <v>4</v>
      </c>
      <c r="C12" s="31">
        <f>FALSE()</f>
        <v/>
      </c>
      <c r="D12" s="32" t="n">
        <v>35.3089</v>
      </c>
      <c r="E12" s="32" t="n">
        <v>1.135</v>
      </c>
      <c r="F12" s="32" t="n">
        <v>35.5806</v>
      </c>
      <c r="G12" s="32" t="n">
        <v>24.7457</v>
      </c>
      <c r="H12" s="32" t="n">
        <v>1.8046</v>
      </c>
      <c r="I12" s="33" t="n">
        <v>0.24</v>
      </c>
      <c r="J12" s="33" t="n">
        <v>0.0012</v>
      </c>
      <c r="K12" s="33" t="n">
        <v>0</v>
      </c>
      <c r="L12" s="33" t="n">
        <v>0.0005</v>
      </c>
      <c r="M12" s="32" t="n">
        <v>1.3438</v>
      </c>
      <c r="N12" s="32" t="n">
        <v>0.8551</v>
      </c>
      <c r="O12" s="32" t="n">
        <v>0.7993</v>
      </c>
      <c r="P12" s="32" t="inlineStr">
        <is>
          <t>[x]</t>
        </is>
      </c>
      <c r="Q12" s="32" t="n">
        <v>101.823</v>
      </c>
      <c r="R12" s="31">
        <f>TRUE()</f>
        <v/>
      </c>
      <c r="S12" s="31">
        <f>TRUE()</f>
        <v/>
      </c>
      <c r="T12" s="31">
        <f>TRUE()</f>
        <v/>
      </c>
      <c r="U12" s="31">
        <f>TRUE()</f>
        <v/>
      </c>
    </row>
    <row r="13" ht="15" customHeight="1" s="22">
      <c r="A13" s="31" t="n">
        <v>2002</v>
      </c>
      <c r="B13" s="31" t="n">
        <v>1</v>
      </c>
      <c r="C13" s="31">
        <f>FALSE()</f>
        <v/>
      </c>
      <c r="D13" s="32" t="n">
        <v>37.3564</v>
      </c>
      <c r="E13" s="32" t="n">
        <v>1.1829</v>
      </c>
      <c r="F13" s="32" t="n">
        <v>38.2859</v>
      </c>
      <c r="G13" s="32" t="n">
        <v>24.5499</v>
      </c>
      <c r="H13" s="32" t="n">
        <v>1.972</v>
      </c>
      <c r="I13" s="33" t="n">
        <v>0.3128</v>
      </c>
      <c r="J13" s="33" t="n">
        <v>0.0012</v>
      </c>
      <c r="K13" s="33" t="n">
        <v>0</v>
      </c>
      <c r="L13" s="33" t="n">
        <v>0.0007</v>
      </c>
      <c r="M13" s="32" t="n">
        <v>1.4296</v>
      </c>
      <c r="N13" s="32" t="n">
        <v>0.9177999999999999</v>
      </c>
      <c r="O13" s="32" t="n">
        <v>0.7381</v>
      </c>
      <c r="P13" s="32" t="inlineStr">
        <is>
          <t>[x]</t>
        </is>
      </c>
      <c r="Q13" s="32" t="n">
        <v>106.6832</v>
      </c>
      <c r="R13" s="31">
        <f>TRUE()</f>
        <v/>
      </c>
      <c r="S13" s="31">
        <f>TRUE()</f>
        <v/>
      </c>
      <c r="T13" s="31">
        <f>TRUE()</f>
        <v/>
      </c>
      <c r="U13" s="31">
        <f>TRUE()</f>
        <v/>
      </c>
    </row>
    <row r="14" ht="15" customHeight="1" s="22">
      <c r="A14" s="31" t="n">
        <v>2002</v>
      </c>
      <c r="B14" s="31" t="n">
        <v>2</v>
      </c>
      <c r="C14" s="31">
        <f>FALSE()</f>
        <v/>
      </c>
      <c r="D14" s="32" t="n">
        <v>24.2773</v>
      </c>
      <c r="E14" s="32" t="n">
        <v>0.9207</v>
      </c>
      <c r="F14" s="32" t="n">
        <v>38.7051</v>
      </c>
      <c r="G14" s="32" t="n">
        <v>21.5497</v>
      </c>
      <c r="H14" s="32" t="n">
        <v>1.1367</v>
      </c>
      <c r="I14" s="33" t="n">
        <v>0.3128</v>
      </c>
      <c r="J14" s="33" t="n">
        <v>0.0012</v>
      </c>
      <c r="K14" s="33" t="n">
        <v>0</v>
      </c>
      <c r="L14" s="33" t="n">
        <v>0.0007</v>
      </c>
      <c r="M14" s="32" t="n">
        <v>1.3653</v>
      </c>
      <c r="N14" s="32" t="n">
        <v>0.8639</v>
      </c>
      <c r="O14" s="32" t="n">
        <v>0.59</v>
      </c>
      <c r="P14" s="32" t="inlineStr">
        <is>
          <t>[x]</t>
        </is>
      </c>
      <c r="Q14" s="32" t="n">
        <v>89.68429999999999</v>
      </c>
      <c r="R14" s="31">
        <f>TRUE()</f>
        <v/>
      </c>
      <c r="S14" s="31">
        <f>TRUE()</f>
        <v/>
      </c>
      <c r="T14" s="31">
        <f>TRUE()</f>
        <v/>
      </c>
      <c r="U14" s="31">
        <f>TRUE()</f>
        <v/>
      </c>
    </row>
    <row r="15" ht="15" customHeight="1" s="22">
      <c r="A15" s="31" t="n">
        <v>2002</v>
      </c>
      <c r="B15" s="31" t="n">
        <v>3</v>
      </c>
      <c r="C15" s="31">
        <f>FALSE()</f>
        <v/>
      </c>
      <c r="D15" s="32" t="n">
        <v>24.8788</v>
      </c>
      <c r="E15" s="32" t="n">
        <v>1.1447</v>
      </c>
      <c r="F15" s="32" t="n">
        <v>37.8918</v>
      </c>
      <c r="G15" s="32" t="n">
        <v>20.6235</v>
      </c>
      <c r="H15" s="32" t="n">
        <v>0.6523</v>
      </c>
      <c r="I15" s="33" t="n">
        <v>0.3128</v>
      </c>
      <c r="J15" s="33" t="n">
        <v>0.0012</v>
      </c>
      <c r="K15" s="33" t="n">
        <v>0</v>
      </c>
      <c r="L15" s="33" t="n">
        <v>0.0007</v>
      </c>
      <c r="M15" s="32" t="n">
        <v>1.3888</v>
      </c>
      <c r="N15" s="32" t="n">
        <v>0.9453</v>
      </c>
      <c r="O15" s="32" t="n">
        <v>0.638</v>
      </c>
      <c r="P15" s="32" t="inlineStr">
        <is>
          <t>[x]</t>
        </is>
      </c>
      <c r="Q15" s="32" t="n">
        <v>88.49509999999999</v>
      </c>
      <c r="R15" s="31">
        <f>TRUE()</f>
        <v/>
      </c>
      <c r="S15" s="31">
        <f>TRUE()</f>
        <v/>
      </c>
      <c r="T15" s="31">
        <f>TRUE()</f>
        <v/>
      </c>
      <c r="U15" s="31">
        <f>TRUE()</f>
        <v/>
      </c>
    </row>
    <row r="16" ht="15" customHeight="1" s="22">
      <c r="A16" s="31" t="n">
        <v>2002</v>
      </c>
      <c r="B16" s="31" t="n">
        <v>4</v>
      </c>
      <c r="C16" s="31">
        <f>FALSE()</f>
        <v/>
      </c>
      <c r="D16" s="32" t="n">
        <v>37.7661</v>
      </c>
      <c r="E16" s="32" t="n">
        <v>1.5506</v>
      </c>
      <c r="F16" s="32" t="n">
        <v>37.3947</v>
      </c>
      <c r="G16" s="32" t="n">
        <v>21.1253</v>
      </c>
      <c r="H16" s="32" t="n">
        <v>1.0265</v>
      </c>
      <c r="I16" s="33" t="n">
        <v>0.3128</v>
      </c>
      <c r="J16" s="33" t="n">
        <v>0.0012</v>
      </c>
      <c r="K16" s="33" t="n">
        <v>0</v>
      </c>
      <c r="L16" s="33" t="n">
        <v>0.0007</v>
      </c>
      <c r="M16" s="32" t="n">
        <v>1.4416</v>
      </c>
      <c r="N16" s="32" t="n">
        <v>0.992</v>
      </c>
      <c r="O16" s="32" t="n">
        <v>0.6856</v>
      </c>
      <c r="P16" s="32" t="inlineStr">
        <is>
          <t>[x]</t>
        </is>
      </c>
      <c r="Q16" s="32" t="n">
        <v>102.3833</v>
      </c>
      <c r="R16" s="31">
        <f>TRUE()</f>
        <v/>
      </c>
      <c r="S16" s="31">
        <f>TRUE()</f>
        <v/>
      </c>
      <c r="T16" s="31">
        <f>TRUE()</f>
        <v/>
      </c>
      <c r="U16" s="31">
        <f>TRUE()</f>
        <v/>
      </c>
    </row>
    <row r="17" ht="15" customHeight="1" s="22">
      <c r="A17" s="31" t="n">
        <v>2003</v>
      </c>
      <c r="B17" s="31" t="n">
        <v>1</v>
      </c>
      <c r="C17" s="31">
        <f>FALSE()</f>
        <v/>
      </c>
      <c r="D17" s="32" t="n">
        <v>40.676</v>
      </c>
      <c r="E17" s="32" t="n">
        <v>1.2931</v>
      </c>
      <c r="F17" s="32" t="n">
        <v>36.9207</v>
      </c>
      <c r="G17" s="32" t="n">
        <v>24.5177</v>
      </c>
      <c r="H17" s="32" t="n">
        <v>0.9843</v>
      </c>
      <c r="I17" s="33" t="n">
        <v>0.3189</v>
      </c>
      <c r="J17" s="33" t="n">
        <v>0.0025</v>
      </c>
      <c r="K17" s="33" t="n">
        <v>0</v>
      </c>
      <c r="L17" s="33" t="n">
        <v>0.0007</v>
      </c>
      <c r="M17" s="32" t="n">
        <v>1.7016</v>
      </c>
      <c r="N17" s="32" t="n">
        <v>1.0049</v>
      </c>
      <c r="O17" s="32" t="n">
        <v>0.6535</v>
      </c>
      <c r="P17" s="32" t="inlineStr">
        <is>
          <t>[x]</t>
        </is>
      </c>
      <c r="Q17" s="32" t="n">
        <v>108.1524</v>
      </c>
      <c r="R17" s="31">
        <f>TRUE()</f>
        <v/>
      </c>
      <c r="S17" s="31">
        <f>TRUE()</f>
        <v/>
      </c>
      <c r="T17" s="31">
        <f>TRUE()</f>
        <v/>
      </c>
      <c r="U17" s="31">
        <f>TRUE()</f>
        <v/>
      </c>
    </row>
    <row r="18" ht="15" customHeight="1" s="22">
      <c r="A18" s="31" t="n">
        <v>2003</v>
      </c>
      <c r="B18" s="31" t="n">
        <v>2</v>
      </c>
      <c r="C18" s="31">
        <f>FALSE()</f>
        <v/>
      </c>
      <c r="D18" s="32" t="n">
        <v>30.2696</v>
      </c>
      <c r="E18" s="32" t="n">
        <v>1.1103</v>
      </c>
      <c r="F18" s="32" t="n">
        <v>35.2911</v>
      </c>
      <c r="G18" s="32" t="n">
        <v>22.4442</v>
      </c>
      <c r="H18" s="32" t="n">
        <v>0.6851</v>
      </c>
      <c r="I18" s="33" t="n">
        <v>0.3189</v>
      </c>
      <c r="J18" s="33" t="n">
        <v>0.0025</v>
      </c>
      <c r="K18" s="33" t="n">
        <v>0</v>
      </c>
      <c r="L18" s="33" t="n">
        <v>0.0007</v>
      </c>
      <c r="M18" s="32" t="n">
        <v>1.5844</v>
      </c>
      <c r="N18" s="32" t="n">
        <v>0.9734</v>
      </c>
      <c r="O18" s="32" t="n">
        <v>0.5904</v>
      </c>
      <c r="P18" s="32" t="inlineStr">
        <is>
          <t>[x]</t>
        </is>
      </c>
      <c r="Q18" s="32" t="n">
        <v>93.19880000000001</v>
      </c>
      <c r="R18" s="31">
        <f>TRUE()</f>
        <v/>
      </c>
      <c r="S18" s="31">
        <f>TRUE()</f>
        <v/>
      </c>
      <c r="T18" s="31">
        <f>TRUE()</f>
        <v/>
      </c>
      <c r="U18" s="31">
        <f>TRUE()</f>
        <v/>
      </c>
    </row>
    <row r="19" ht="15" customHeight="1" s="22">
      <c r="A19" s="31" t="n">
        <v>2003</v>
      </c>
      <c r="B19" s="31" t="n">
        <v>3</v>
      </c>
      <c r="C19" s="31">
        <f>FALSE()</f>
        <v/>
      </c>
      <c r="D19" s="32" t="n">
        <v>27.199</v>
      </c>
      <c r="E19" s="32" t="n">
        <v>0.91</v>
      </c>
      <c r="F19" s="32" t="n">
        <v>37.6067</v>
      </c>
      <c r="G19" s="32" t="n">
        <v>20.832</v>
      </c>
      <c r="H19" s="32" t="n">
        <v>0.5088</v>
      </c>
      <c r="I19" s="33" t="n">
        <v>0.3189</v>
      </c>
      <c r="J19" s="33" t="n">
        <v>0.0025</v>
      </c>
      <c r="K19" s="33" t="n">
        <v>0</v>
      </c>
      <c r="L19" s="33" t="n">
        <v>0.0007</v>
      </c>
      <c r="M19" s="32" t="n">
        <v>1.5885</v>
      </c>
      <c r="N19" s="32" t="n">
        <v>0.8972</v>
      </c>
      <c r="O19" s="32" t="n">
        <v>0.7683</v>
      </c>
      <c r="P19" s="32" t="inlineStr">
        <is>
          <t>[x]</t>
        </is>
      </c>
      <c r="Q19" s="32" t="n">
        <v>90.5108</v>
      </c>
      <c r="R19" s="31">
        <f>TRUE()</f>
        <v/>
      </c>
      <c r="S19" s="31">
        <f>TRUE()</f>
        <v/>
      </c>
      <c r="T19" s="31">
        <f>TRUE()</f>
        <v/>
      </c>
      <c r="U19" s="31">
        <f>TRUE()</f>
        <v/>
      </c>
    </row>
    <row r="20" ht="15" customHeight="1" s="22">
      <c r="A20" s="31" t="n">
        <v>2003</v>
      </c>
      <c r="B20" s="31" t="n">
        <v>4</v>
      </c>
      <c r="C20" s="31">
        <f>FALSE()</f>
        <v/>
      </c>
      <c r="D20" s="32" t="n">
        <v>40.3143</v>
      </c>
      <c r="E20" s="32" t="n">
        <v>1.2807</v>
      </c>
      <c r="F20" s="32" t="n">
        <v>39.0642</v>
      </c>
      <c r="G20" s="32" t="n">
        <v>20.8924</v>
      </c>
      <c r="H20" s="32" t="n">
        <v>1.0495</v>
      </c>
      <c r="I20" s="33" t="n">
        <v>0.3189</v>
      </c>
      <c r="J20" s="33" t="n">
        <v>0.0025</v>
      </c>
      <c r="K20" s="33" t="n">
        <v>0</v>
      </c>
      <c r="L20" s="33" t="n">
        <v>0.0007</v>
      </c>
      <c r="M20" s="32" t="n">
        <v>1.8168</v>
      </c>
      <c r="N20" s="32" t="n">
        <v>0.9245</v>
      </c>
      <c r="O20" s="32" t="n">
        <v>0.7217</v>
      </c>
      <c r="P20" s="32" t="inlineStr">
        <is>
          <t>[x]</t>
        </is>
      </c>
      <c r="Q20" s="32" t="n">
        <v>106.5007</v>
      </c>
      <c r="R20" s="31">
        <f>TRUE()</f>
        <v/>
      </c>
      <c r="S20" s="31">
        <f>TRUE()</f>
        <v/>
      </c>
      <c r="T20" s="31">
        <f>TRUE()</f>
        <v/>
      </c>
      <c r="U20" s="31">
        <f>TRUE()</f>
        <v/>
      </c>
    </row>
    <row r="21" ht="15" customHeight="1" s="22">
      <c r="A21" s="31" t="n">
        <v>2004</v>
      </c>
      <c r="B21" s="31" t="n">
        <v>1</v>
      </c>
      <c r="C21" s="31">
        <f>FALSE()</f>
        <v/>
      </c>
      <c r="D21" s="32" t="n">
        <v>41.487</v>
      </c>
      <c r="E21" s="32" t="n">
        <v>1.3182</v>
      </c>
      <c r="F21" s="32" t="n">
        <v>39.246</v>
      </c>
      <c r="G21" s="32" t="n">
        <v>23.5359</v>
      </c>
      <c r="H21" s="32" t="n">
        <v>1.5164</v>
      </c>
      <c r="I21" s="33" t="n">
        <v>0.4341</v>
      </c>
      <c r="J21" s="33" t="n">
        <v>0.0497</v>
      </c>
      <c r="K21" s="33" t="n">
        <v>0</v>
      </c>
      <c r="L21" s="33" t="n">
        <v>0.001</v>
      </c>
      <c r="M21" s="32" t="n">
        <v>1.9308</v>
      </c>
      <c r="N21" s="32" t="n">
        <v>0.6728</v>
      </c>
      <c r="O21" s="32" t="n">
        <v>0.7146</v>
      </c>
      <c r="P21" s="32" t="inlineStr">
        <is>
          <t>[x]</t>
        </is>
      </c>
      <c r="Q21" s="32" t="n">
        <v>110.9227</v>
      </c>
      <c r="R21" s="31">
        <f>TRUE()</f>
        <v/>
      </c>
      <c r="S21" s="31">
        <f>TRUE()</f>
        <v/>
      </c>
      <c r="T21" s="31">
        <f>TRUE()</f>
        <v/>
      </c>
      <c r="U21" s="31">
        <f>TRUE()</f>
        <v/>
      </c>
    </row>
    <row r="22" ht="15" customHeight="1" s="22">
      <c r="A22" s="31" t="n">
        <v>2004</v>
      </c>
      <c r="B22" s="31" t="n">
        <v>2</v>
      </c>
      <c r="C22" s="31">
        <f>FALSE()</f>
        <v/>
      </c>
      <c r="D22" s="32" t="n">
        <v>25.7467</v>
      </c>
      <c r="E22" s="32" t="n">
        <v>1.0779</v>
      </c>
      <c r="F22" s="32" t="n">
        <v>37.7853</v>
      </c>
      <c r="G22" s="32" t="n">
        <v>18.6028</v>
      </c>
      <c r="H22" s="32" t="n">
        <v>0.7339</v>
      </c>
      <c r="I22" s="33" t="n">
        <v>0.4341</v>
      </c>
      <c r="J22" s="33" t="n">
        <v>0.0497</v>
      </c>
      <c r="K22" s="33" t="n">
        <v>0</v>
      </c>
      <c r="L22" s="33" t="n">
        <v>0.001</v>
      </c>
      <c r="M22" s="32" t="n">
        <v>1.9389</v>
      </c>
      <c r="N22" s="32" t="n">
        <v>0.7655999999999999</v>
      </c>
      <c r="O22" s="32" t="n">
        <v>0.6283</v>
      </c>
      <c r="P22" s="32" t="inlineStr">
        <is>
          <t>[x]</t>
        </is>
      </c>
      <c r="Q22" s="32" t="n">
        <v>87.64019999999999</v>
      </c>
      <c r="R22" s="31">
        <f>TRUE()</f>
        <v/>
      </c>
      <c r="S22" s="31">
        <f>TRUE()</f>
        <v/>
      </c>
      <c r="T22" s="31">
        <f>TRUE()</f>
        <v/>
      </c>
      <c r="U22" s="31">
        <f>TRUE()</f>
        <v/>
      </c>
    </row>
    <row r="23" ht="15" customHeight="1" s="22">
      <c r="A23" s="31" t="n">
        <v>2004</v>
      </c>
      <c r="B23" s="31" t="n">
        <v>3</v>
      </c>
      <c r="C23" s="31">
        <f>FALSE()</f>
        <v/>
      </c>
      <c r="D23" s="32" t="n">
        <v>25.9913</v>
      </c>
      <c r="E23" s="32" t="n">
        <v>0.9667</v>
      </c>
      <c r="F23" s="32" t="n">
        <v>39.3549</v>
      </c>
      <c r="G23" s="32" t="n">
        <v>18.6708</v>
      </c>
      <c r="H23" s="32" t="n">
        <v>0.9713000000000001</v>
      </c>
      <c r="I23" s="33" t="n">
        <v>0.4341</v>
      </c>
      <c r="J23" s="33" t="n">
        <v>0.0497</v>
      </c>
      <c r="K23" s="33" t="n">
        <v>0</v>
      </c>
      <c r="L23" s="33" t="n">
        <v>0.001</v>
      </c>
      <c r="M23" s="32" t="n">
        <v>1.921</v>
      </c>
      <c r="N23" s="32" t="n">
        <v>0.6768999999999999</v>
      </c>
      <c r="O23" s="32" t="n">
        <v>0.6141</v>
      </c>
      <c r="P23" s="32" t="inlineStr">
        <is>
          <t>[x]</t>
        </is>
      </c>
      <c r="Q23" s="32" t="n">
        <v>89.6281</v>
      </c>
      <c r="R23" s="31">
        <f>TRUE()</f>
        <v/>
      </c>
      <c r="S23" s="31">
        <f>TRUE()</f>
        <v/>
      </c>
      <c r="T23" s="31">
        <f>TRUE()</f>
        <v/>
      </c>
      <c r="U23" s="31">
        <f>TRUE()</f>
        <v/>
      </c>
    </row>
    <row r="24" ht="15" customHeight="1" s="22">
      <c r="A24" s="31" t="n">
        <v>2004</v>
      </c>
      <c r="B24" s="31" t="n">
        <v>4</v>
      </c>
      <c r="C24" s="31">
        <f>FALSE()</f>
        <v/>
      </c>
      <c r="D24" s="32" t="n">
        <v>38.5625</v>
      </c>
      <c r="E24" s="32" t="n">
        <v>1.2809</v>
      </c>
      <c r="F24" s="32" t="n">
        <v>40.6787</v>
      </c>
      <c r="G24" s="32" t="n">
        <v>19.1896</v>
      </c>
      <c r="H24" s="32" t="n">
        <v>1.6229</v>
      </c>
      <c r="I24" s="33" t="n">
        <v>0.4341</v>
      </c>
      <c r="J24" s="33" t="n">
        <v>0.0497</v>
      </c>
      <c r="K24" s="33" t="n">
        <v>0</v>
      </c>
      <c r="L24" s="33" t="n">
        <v>0.001</v>
      </c>
      <c r="M24" s="32" t="n">
        <v>2.1497</v>
      </c>
      <c r="N24" s="32" t="n">
        <v>0.9467</v>
      </c>
      <c r="O24" s="32" t="n">
        <v>0.6915</v>
      </c>
      <c r="P24" s="32" t="inlineStr">
        <is>
          <t>[x]</t>
        </is>
      </c>
      <c r="Q24" s="32" t="n">
        <v>105.7387</v>
      </c>
      <c r="R24" s="31">
        <f>TRUE()</f>
        <v/>
      </c>
      <c r="S24" s="31">
        <f>TRUE()</f>
        <v/>
      </c>
      <c r="T24" s="31">
        <f>TRUE()</f>
        <v/>
      </c>
      <c r="U24" s="31">
        <f>TRUE()</f>
        <v/>
      </c>
    </row>
    <row r="25" ht="15" customHeight="1" s="22">
      <c r="A25" s="31" t="n">
        <v>2005</v>
      </c>
      <c r="B25" s="31" t="n">
        <v>1</v>
      </c>
      <c r="C25" s="31">
        <f>FALSE()</f>
        <v/>
      </c>
      <c r="D25" s="32" t="n">
        <v>42.5372</v>
      </c>
      <c r="E25" s="32" t="n">
        <v>1.5398</v>
      </c>
      <c r="F25" s="32" t="n">
        <v>36.5392</v>
      </c>
      <c r="G25" s="32" t="n">
        <v>22.4613</v>
      </c>
      <c r="H25" s="32" t="n">
        <v>1.6464</v>
      </c>
      <c r="I25" s="33" t="n">
        <v>0.6253</v>
      </c>
      <c r="J25" s="33" t="n">
        <v>0.1007</v>
      </c>
      <c r="K25" s="33" t="n">
        <v>0</v>
      </c>
      <c r="L25" s="33" t="n">
        <v>0.002</v>
      </c>
      <c r="M25" s="32" t="n">
        <v>2.5343</v>
      </c>
      <c r="N25" s="32" t="n">
        <v>0.9351</v>
      </c>
      <c r="O25" s="32" t="n">
        <v>0.7662</v>
      </c>
      <c r="P25" s="32" t="inlineStr">
        <is>
          <t>[x]</t>
        </is>
      </c>
      <c r="Q25" s="32" t="n">
        <v>109.7115</v>
      </c>
      <c r="R25" s="31">
        <f>TRUE()</f>
        <v/>
      </c>
      <c r="S25" s="31">
        <f>TRUE()</f>
        <v/>
      </c>
      <c r="T25" s="31">
        <f>TRUE()</f>
        <v/>
      </c>
      <c r="U25" s="31">
        <f>TRUE()</f>
        <v/>
      </c>
    </row>
    <row r="26" ht="15" customHeight="1" s="22">
      <c r="A26" s="31" t="n">
        <v>2005</v>
      </c>
      <c r="B26" s="31" t="n">
        <v>2</v>
      </c>
      <c r="C26" s="31">
        <f>FALSE()</f>
        <v/>
      </c>
      <c r="D26" s="32" t="n">
        <v>27.5072</v>
      </c>
      <c r="E26" s="32" t="n">
        <v>0.8265</v>
      </c>
      <c r="F26" s="32" t="n">
        <v>39.7866</v>
      </c>
      <c r="G26" s="32" t="n">
        <v>19.7997</v>
      </c>
      <c r="H26" s="32" t="n">
        <v>1.03</v>
      </c>
      <c r="I26" s="33" t="n">
        <v>0.6253</v>
      </c>
      <c r="J26" s="33" t="n">
        <v>0.1007</v>
      </c>
      <c r="K26" s="33" t="n">
        <v>0</v>
      </c>
      <c r="L26" s="33" t="n">
        <v>0.002</v>
      </c>
      <c r="M26" s="32" t="n">
        <v>2.2273</v>
      </c>
      <c r="N26" s="32" t="n">
        <v>0.8938</v>
      </c>
      <c r="O26" s="32" t="n">
        <v>0.5626</v>
      </c>
      <c r="P26" s="32" t="inlineStr">
        <is>
          <t>[x]</t>
        </is>
      </c>
      <c r="Q26" s="32" t="n">
        <v>93.17529999999999</v>
      </c>
      <c r="R26" s="31">
        <f>TRUE()</f>
        <v/>
      </c>
      <c r="S26" s="31">
        <f>TRUE()</f>
        <v/>
      </c>
      <c r="T26" s="31">
        <f>TRUE()</f>
        <v/>
      </c>
      <c r="U26" s="31">
        <f>TRUE()</f>
        <v/>
      </c>
    </row>
    <row r="27" ht="15" customHeight="1" s="22">
      <c r="A27" s="31" t="n">
        <v>2005</v>
      </c>
      <c r="B27" s="31" t="n">
        <v>3</v>
      </c>
      <c r="C27" s="31">
        <f>FALSE()</f>
        <v/>
      </c>
      <c r="D27" s="32" t="n">
        <v>22.1677</v>
      </c>
      <c r="E27" s="32" t="n">
        <v>0.8313</v>
      </c>
      <c r="F27" s="32" t="n">
        <v>40.9607</v>
      </c>
      <c r="G27" s="32" t="n">
        <v>20.3737</v>
      </c>
      <c r="H27" s="32" t="n">
        <v>0.7256</v>
      </c>
      <c r="I27" s="33" t="n">
        <v>0.6253</v>
      </c>
      <c r="J27" s="33" t="n">
        <v>0.1007</v>
      </c>
      <c r="K27" s="33" t="n">
        <v>0</v>
      </c>
      <c r="L27" s="33" t="n">
        <v>0.002</v>
      </c>
      <c r="M27" s="32" t="n">
        <v>2.1871</v>
      </c>
      <c r="N27" s="32" t="n">
        <v>0.9356</v>
      </c>
      <c r="O27" s="32" t="n">
        <v>0.6909999999999999</v>
      </c>
      <c r="P27" s="32" t="inlineStr">
        <is>
          <t>[x]</t>
        </is>
      </c>
      <c r="Q27" s="32" t="n">
        <v>89.5646</v>
      </c>
      <c r="R27" s="31">
        <f>TRUE()</f>
        <v/>
      </c>
      <c r="S27" s="31">
        <f>TRUE()</f>
        <v/>
      </c>
      <c r="T27" s="31">
        <f>TRUE()</f>
        <v/>
      </c>
      <c r="U27" s="31">
        <f>TRUE()</f>
        <v/>
      </c>
    </row>
    <row r="28" ht="15" customHeight="1" s="22">
      <c r="A28" s="31" t="n">
        <v>2005</v>
      </c>
      <c r="B28" s="31" t="n">
        <v>4</v>
      </c>
      <c r="C28" s="31">
        <f>FALSE()</f>
        <v/>
      </c>
      <c r="D28" s="32" t="n">
        <v>42.4249</v>
      </c>
      <c r="E28" s="32" t="n">
        <v>2.1405</v>
      </c>
      <c r="F28" s="32" t="n">
        <v>35.3554</v>
      </c>
      <c r="G28" s="32" t="n">
        <v>18.9834</v>
      </c>
      <c r="H28" s="32" t="n">
        <v>1.5209</v>
      </c>
      <c r="I28" s="33" t="n">
        <v>0.6253</v>
      </c>
      <c r="J28" s="33" t="n">
        <v>0.1007</v>
      </c>
      <c r="K28" s="33" t="n">
        <v>0</v>
      </c>
      <c r="L28" s="33" t="n">
        <v>0.002</v>
      </c>
      <c r="M28" s="32" t="n">
        <v>2.7367</v>
      </c>
      <c r="N28" s="32" t="n">
        <v>0.9114</v>
      </c>
      <c r="O28" s="32" t="n">
        <v>0.91</v>
      </c>
      <c r="P28" s="32" t="inlineStr">
        <is>
          <t>[x]</t>
        </is>
      </c>
      <c r="Q28" s="32" t="n">
        <v>105.9098</v>
      </c>
      <c r="R28" s="31">
        <f>TRUE()</f>
        <v/>
      </c>
      <c r="S28" s="31">
        <f>TRUE()</f>
        <v/>
      </c>
      <c r="T28" s="31">
        <f>TRUE()</f>
        <v/>
      </c>
      <c r="U28" s="31">
        <f>TRUE()</f>
        <v/>
      </c>
    </row>
    <row r="29" ht="15" customHeight="1" s="22">
      <c r="A29" s="31" t="n">
        <v>2006</v>
      </c>
      <c r="B29" s="31" t="n">
        <v>1</v>
      </c>
      <c r="C29" s="31">
        <f>FALSE()</f>
        <v/>
      </c>
      <c r="D29" s="32" t="n">
        <v>50.0348</v>
      </c>
      <c r="E29" s="32" t="n">
        <v>2.3844</v>
      </c>
      <c r="F29" s="32" t="n">
        <v>30.5935</v>
      </c>
      <c r="G29" s="32" t="n">
        <v>22.3665</v>
      </c>
      <c r="H29" s="32" t="n">
        <v>1.1162</v>
      </c>
      <c r="I29" s="33" t="n">
        <v>0.8934</v>
      </c>
      <c r="J29" s="33" t="n">
        <v>0.1628</v>
      </c>
      <c r="K29" s="33" t="n">
        <v>0</v>
      </c>
      <c r="L29" s="33" t="n">
        <v>0.0027</v>
      </c>
      <c r="M29" s="32" t="n">
        <v>2.5897</v>
      </c>
      <c r="N29" s="32" t="n">
        <v>0.9056</v>
      </c>
      <c r="O29" s="32" t="n">
        <v>1.0735</v>
      </c>
      <c r="P29" s="32" t="inlineStr">
        <is>
          <t>[x]</t>
        </is>
      </c>
      <c r="Q29" s="32" t="n">
        <v>112.1581</v>
      </c>
      <c r="R29" s="31">
        <f>TRUE()</f>
        <v/>
      </c>
      <c r="S29" s="31">
        <f>TRUE()</f>
        <v/>
      </c>
      <c r="T29" s="31">
        <f>TRUE()</f>
        <v/>
      </c>
      <c r="U29" s="31">
        <f>TRUE()</f>
        <v/>
      </c>
    </row>
    <row r="30" ht="15" customHeight="1" s="22">
      <c r="A30" s="31" t="n">
        <v>2006</v>
      </c>
      <c r="B30" s="31" t="n">
        <v>2</v>
      </c>
      <c r="C30" s="31">
        <f>FALSE()</f>
        <v/>
      </c>
      <c r="D30" s="32" t="n">
        <v>30.0308</v>
      </c>
      <c r="E30" s="32" t="n">
        <v>1.1271</v>
      </c>
      <c r="F30" s="32" t="n">
        <v>34.4797</v>
      </c>
      <c r="G30" s="32" t="n">
        <v>19.8388</v>
      </c>
      <c r="H30" s="32" t="n">
        <v>0.9681999999999999</v>
      </c>
      <c r="I30" s="33" t="n">
        <v>0.8934</v>
      </c>
      <c r="J30" s="33" t="n">
        <v>0.1628</v>
      </c>
      <c r="K30" s="33" t="n">
        <v>0</v>
      </c>
      <c r="L30" s="33" t="n">
        <v>0.0027</v>
      </c>
      <c r="M30" s="32" t="n">
        <v>2.3228</v>
      </c>
      <c r="N30" s="32" t="n">
        <v>0.8068</v>
      </c>
      <c r="O30" s="32" t="n">
        <v>0.8033</v>
      </c>
      <c r="P30" s="32" t="inlineStr">
        <is>
          <t>[x]</t>
        </is>
      </c>
      <c r="Q30" s="32" t="n">
        <v>91.1657</v>
      </c>
      <c r="R30" s="31">
        <f>TRUE()</f>
        <v/>
      </c>
      <c r="S30" s="31">
        <f>TRUE()</f>
        <v/>
      </c>
      <c r="T30" s="31">
        <f>TRUE()</f>
        <v/>
      </c>
      <c r="U30" s="31">
        <f>TRUE()</f>
        <v/>
      </c>
    </row>
    <row r="31" ht="15" customHeight="1" s="22">
      <c r="A31" s="31" t="n">
        <v>2006</v>
      </c>
      <c r="B31" s="31" t="n">
        <v>3</v>
      </c>
      <c r="C31" s="31">
        <f>FALSE()</f>
        <v/>
      </c>
      <c r="D31" s="32" t="n">
        <v>28.261</v>
      </c>
      <c r="E31" s="32" t="n">
        <v>1.2031</v>
      </c>
      <c r="F31" s="32" t="n">
        <v>36.1506</v>
      </c>
      <c r="G31" s="32" t="n">
        <v>18.7917</v>
      </c>
      <c r="H31" s="32" t="n">
        <v>0.6774</v>
      </c>
      <c r="I31" s="33" t="n">
        <v>0.8934</v>
      </c>
      <c r="J31" s="33" t="n">
        <v>0.1628</v>
      </c>
      <c r="K31" s="33" t="n">
        <v>0</v>
      </c>
      <c r="L31" s="33" t="n">
        <v>0.0027</v>
      </c>
      <c r="M31" s="32" t="n">
        <v>2.2964</v>
      </c>
      <c r="N31" s="32" t="n">
        <v>0.8243</v>
      </c>
      <c r="O31" s="32" t="n">
        <v>0.9897</v>
      </c>
      <c r="P31" s="32" t="inlineStr">
        <is>
          <t>[x]</t>
        </is>
      </c>
      <c r="Q31" s="32" t="n">
        <v>90.2009</v>
      </c>
      <c r="R31" s="31">
        <f>TRUE()</f>
        <v/>
      </c>
      <c r="S31" s="31">
        <f>TRUE()</f>
        <v/>
      </c>
      <c r="T31" s="31">
        <f>TRUE()</f>
        <v/>
      </c>
      <c r="U31" s="31">
        <f>TRUE()</f>
        <v/>
      </c>
    </row>
    <row r="32" ht="15" customHeight="1" s="22">
      <c r="A32" s="31" t="n">
        <v>2006</v>
      </c>
      <c r="B32" s="31" t="n">
        <v>4</v>
      </c>
      <c r="C32" s="31">
        <f>FALSE()</f>
        <v/>
      </c>
      <c r="D32" s="32" t="n">
        <v>40.5234</v>
      </c>
      <c r="E32" s="32" t="n">
        <v>1.4583</v>
      </c>
      <c r="F32" s="32" t="n">
        <v>39.6044</v>
      </c>
      <c r="G32" s="32" t="n">
        <v>14.4536</v>
      </c>
      <c r="H32" s="32" t="n">
        <v>1.8315</v>
      </c>
      <c r="I32" s="33" t="n">
        <v>0.8934</v>
      </c>
      <c r="J32" s="33" t="n">
        <v>0.1628</v>
      </c>
      <c r="K32" s="33" t="n">
        <v>0</v>
      </c>
      <c r="L32" s="33" t="n">
        <v>0.0027</v>
      </c>
      <c r="M32" s="32" t="n">
        <v>2.7185</v>
      </c>
      <c r="N32" s="32" t="n">
        <v>0.8342000000000001</v>
      </c>
      <c r="O32" s="32" t="n">
        <v>0.986</v>
      </c>
      <c r="P32" s="32" t="inlineStr">
        <is>
          <t>[x]</t>
        </is>
      </c>
      <c r="Q32" s="32" t="n">
        <v>103.7576</v>
      </c>
      <c r="R32" s="31">
        <f>TRUE()</f>
        <v/>
      </c>
      <c r="S32" s="31">
        <f>TRUE()</f>
        <v/>
      </c>
      <c r="T32" s="31">
        <f>TRUE()</f>
        <v/>
      </c>
      <c r="U32" s="31">
        <f>TRUE()</f>
        <v/>
      </c>
    </row>
    <row r="33" ht="15" customHeight="1" s="22">
      <c r="A33" s="31" t="n">
        <v>2007</v>
      </c>
      <c r="B33" s="31" t="n">
        <v>1</v>
      </c>
      <c r="C33" s="31">
        <f>FALSE()</f>
        <v/>
      </c>
      <c r="D33" s="32" t="n">
        <v>38.9954</v>
      </c>
      <c r="E33" s="32" t="n">
        <v>1.3624</v>
      </c>
      <c r="F33" s="32" t="n">
        <v>43.7317</v>
      </c>
      <c r="G33" s="32" t="n">
        <v>15.5477</v>
      </c>
      <c r="H33" s="32" t="n">
        <v>1.9561</v>
      </c>
      <c r="I33" s="33" t="n">
        <v>1.1228</v>
      </c>
      <c r="J33" s="33" t="n">
        <v>0.1956</v>
      </c>
      <c r="K33" s="33" t="n">
        <v>0</v>
      </c>
      <c r="L33" s="33" t="n">
        <v>0.0035</v>
      </c>
      <c r="M33" s="32" t="n">
        <v>2.4687</v>
      </c>
      <c r="N33" s="32" t="n">
        <v>0.7989000000000001</v>
      </c>
      <c r="O33" s="32" t="n">
        <v>0.8904</v>
      </c>
      <c r="P33" s="32" t="inlineStr">
        <is>
          <t>[x]</t>
        </is>
      </c>
      <c r="Q33" s="32" t="n">
        <v>107.3995</v>
      </c>
      <c r="R33" s="31">
        <f>TRUE()</f>
        <v/>
      </c>
      <c r="S33" s="31">
        <f>TRUE()</f>
        <v/>
      </c>
      <c r="T33" s="31">
        <f>TRUE()</f>
        <v/>
      </c>
      <c r="U33" s="31">
        <f>TRUE()</f>
        <v/>
      </c>
    </row>
    <row r="34" ht="15" customHeight="1" s="22">
      <c r="A34" s="31" t="n">
        <v>2007</v>
      </c>
      <c r="B34" s="31" t="n">
        <v>2</v>
      </c>
      <c r="C34" s="31">
        <f>FALSE()</f>
        <v/>
      </c>
      <c r="D34" s="32" t="n">
        <v>25.392</v>
      </c>
      <c r="E34" s="32" t="n">
        <v>1.1508</v>
      </c>
      <c r="F34" s="32" t="n">
        <v>44.399</v>
      </c>
      <c r="G34" s="32" t="n">
        <v>15.1161</v>
      </c>
      <c r="H34" s="32" t="n">
        <v>0.8509</v>
      </c>
      <c r="I34" s="33" t="n">
        <v>1.1228</v>
      </c>
      <c r="J34" s="33" t="n">
        <v>0.1956</v>
      </c>
      <c r="K34" s="33" t="n">
        <v>0</v>
      </c>
      <c r="L34" s="33" t="n">
        <v>0.0035</v>
      </c>
      <c r="M34" s="32" t="n">
        <v>2.1375</v>
      </c>
      <c r="N34" s="32" t="n">
        <v>0.9048</v>
      </c>
      <c r="O34" s="32" t="n">
        <v>0.8653999999999999</v>
      </c>
      <c r="P34" s="32" t="inlineStr">
        <is>
          <t>[x]</t>
        </is>
      </c>
      <c r="Q34" s="32" t="n">
        <v>91.7488</v>
      </c>
      <c r="R34" s="31">
        <f>TRUE()</f>
        <v/>
      </c>
      <c r="S34" s="31">
        <f>TRUE()</f>
        <v/>
      </c>
      <c r="T34" s="31">
        <f>TRUE()</f>
        <v/>
      </c>
      <c r="U34" s="31">
        <f>TRUE()</f>
        <v/>
      </c>
    </row>
    <row r="35" ht="15" customHeight="1" s="22">
      <c r="A35" s="31" t="n">
        <v>2007</v>
      </c>
      <c r="B35" s="31" t="n">
        <v>3</v>
      </c>
      <c r="C35" s="31">
        <f>FALSE()</f>
        <v/>
      </c>
      <c r="D35" s="32" t="n">
        <v>26.9986</v>
      </c>
      <c r="E35" s="32" t="n">
        <v>0.9135</v>
      </c>
      <c r="F35" s="32" t="n">
        <v>37.3155</v>
      </c>
      <c r="G35" s="32" t="n">
        <v>17.3229</v>
      </c>
      <c r="H35" s="32" t="n">
        <v>0.9525</v>
      </c>
      <c r="I35" s="33" t="n">
        <v>1.1228</v>
      </c>
      <c r="J35" s="33" t="n">
        <v>0.1956</v>
      </c>
      <c r="K35" s="33" t="n">
        <v>0</v>
      </c>
      <c r="L35" s="33" t="n">
        <v>0.0035</v>
      </c>
      <c r="M35" s="32" t="n">
        <v>2.1648</v>
      </c>
      <c r="N35" s="32" t="n">
        <v>0.9499</v>
      </c>
      <c r="O35" s="32" t="n">
        <v>1.0342</v>
      </c>
      <c r="P35" s="32" t="inlineStr">
        <is>
          <t>[x]</t>
        </is>
      </c>
      <c r="Q35" s="32" t="n">
        <v>88.8468</v>
      </c>
      <c r="R35" s="31">
        <f>TRUE()</f>
        <v/>
      </c>
      <c r="S35" s="31">
        <f>TRUE()</f>
        <v/>
      </c>
      <c r="T35" s="31">
        <f>TRUE()</f>
        <v/>
      </c>
      <c r="U35" s="31">
        <f>TRUE()</f>
        <v/>
      </c>
    </row>
    <row r="36" ht="15" customHeight="1" s="22">
      <c r="A36" s="31" t="n">
        <v>2007</v>
      </c>
      <c r="B36" s="31" t="n">
        <v>4</v>
      </c>
      <c r="C36" s="31">
        <f>FALSE()</f>
        <v/>
      </c>
      <c r="D36" s="32" t="n">
        <v>44.5579</v>
      </c>
      <c r="E36" s="32" t="n">
        <v>1.6215</v>
      </c>
      <c r="F36" s="32" t="n">
        <v>40.3469</v>
      </c>
      <c r="G36" s="32" t="n">
        <v>15.0417</v>
      </c>
      <c r="H36" s="32" t="n">
        <v>1.3178</v>
      </c>
      <c r="I36" s="33" t="n">
        <v>1.1228</v>
      </c>
      <c r="J36" s="33" t="n">
        <v>0.1956</v>
      </c>
      <c r="K36" s="33" t="n">
        <v>0</v>
      </c>
      <c r="L36" s="33" t="n">
        <v>0.0035</v>
      </c>
      <c r="M36" s="32" t="n">
        <v>2.5535</v>
      </c>
      <c r="N36" s="32" t="n">
        <v>0.8138</v>
      </c>
      <c r="O36" s="32" t="n">
        <v>1.0693</v>
      </c>
      <c r="P36" s="32" t="inlineStr">
        <is>
          <t>[x]</t>
        </is>
      </c>
      <c r="Q36" s="32" t="n">
        <v>108.8348</v>
      </c>
      <c r="R36" s="31">
        <f>TRUE()</f>
        <v/>
      </c>
      <c r="S36" s="31">
        <f>TRUE()</f>
        <v/>
      </c>
      <c r="T36" s="31">
        <f>TRUE()</f>
        <v/>
      </c>
      <c r="U36" s="31">
        <f>TRUE()</f>
        <v/>
      </c>
    </row>
    <row r="37" ht="15" customHeight="1" s="22">
      <c r="A37" s="31" t="n">
        <v>2008</v>
      </c>
      <c r="B37" s="31" t="n">
        <v>1</v>
      </c>
      <c r="C37" s="31">
        <f>FALSE()</f>
        <v/>
      </c>
      <c r="D37" s="32" t="n">
        <v>35.2166</v>
      </c>
      <c r="E37" s="32" t="n">
        <v>1.1657</v>
      </c>
      <c r="F37" s="32" t="n">
        <v>48.517</v>
      </c>
      <c r="G37" s="32" t="n">
        <v>14.4654</v>
      </c>
      <c r="H37" s="32" t="n">
        <v>1.9841</v>
      </c>
      <c r="I37" s="33" t="n">
        <v>1.447</v>
      </c>
      <c r="J37" s="33" t="n">
        <v>0.3339</v>
      </c>
      <c r="K37" s="33" t="n">
        <v>0</v>
      </c>
      <c r="L37" s="33" t="n">
        <v>0.0043</v>
      </c>
      <c r="M37" s="32" t="n">
        <v>2.4159</v>
      </c>
      <c r="N37" s="32" t="n">
        <v>0.853</v>
      </c>
      <c r="O37" s="32" t="n">
        <v>0.9528</v>
      </c>
      <c r="P37" s="32" t="inlineStr">
        <is>
          <t>[x]</t>
        </is>
      </c>
      <c r="Q37" s="32" t="n">
        <v>107.7861</v>
      </c>
      <c r="R37" s="31">
        <f>TRUE()</f>
        <v/>
      </c>
      <c r="S37" s="31">
        <f>TRUE()</f>
        <v/>
      </c>
      <c r="T37" s="31">
        <f>TRUE()</f>
        <v/>
      </c>
      <c r="U37" s="31">
        <f>TRUE()</f>
        <v/>
      </c>
    </row>
    <row r="38" ht="15" customHeight="1" s="22">
      <c r="A38" s="31" t="n">
        <v>2008</v>
      </c>
      <c r="B38" s="31" t="n">
        <v>2</v>
      </c>
      <c r="C38" s="31">
        <f>FALSE()</f>
        <v/>
      </c>
      <c r="D38" s="32" t="n">
        <v>27.7011</v>
      </c>
      <c r="E38" s="32" t="n">
        <v>1.3648</v>
      </c>
      <c r="F38" s="32" t="n">
        <v>42.7432</v>
      </c>
      <c r="G38" s="32" t="n">
        <v>12.1981</v>
      </c>
      <c r="H38" s="32" t="n">
        <v>0.8492</v>
      </c>
      <c r="I38" s="33" t="n">
        <v>1.447</v>
      </c>
      <c r="J38" s="33" t="n">
        <v>0.3339</v>
      </c>
      <c r="K38" s="33" t="n">
        <v>0</v>
      </c>
      <c r="L38" s="33" t="n">
        <v>0.0043</v>
      </c>
      <c r="M38" s="32" t="n">
        <v>2.2769</v>
      </c>
      <c r="N38" s="32" t="n">
        <v>0.8458</v>
      </c>
      <c r="O38" s="32" t="n">
        <v>0.9345</v>
      </c>
      <c r="P38" s="32" t="inlineStr">
        <is>
          <t>[x]</t>
        </is>
      </c>
      <c r="Q38" s="32" t="n">
        <v>90.1819</v>
      </c>
      <c r="R38" s="31">
        <f>TRUE()</f>
        <v/>
      </c>
      <c r="S38" s="31">
        <f>TRUE()</f>
        <v/>
      </c>
      <c r="T38" s="31">
        <f>TRUE()</f>
        <v/>
      </c>
      <c r="U38" s="31">
        <f>TRUE()</f>
        <v/>
      </c>
    </row>
    <row r="39" ht="15" customHeight="1" s="22">
      <c r="A39" s="31" t="n">
        <v>2008</v>
      </c>
      <c r="B39" s="31" t="n">
        <v>3</v>
      </c>
      <c r="C39" s="31">
        <f>FALSE()</f>
        <v/>
      </c>
      <c r="D39" s="32" t="n">
        <v>23.1849</v>
      </c>
      <c r="E39" s="32" t="n">
        <v>1.7282</v>
      </c>
      <c r="F39" s="32" t="n">
        <v>44.1041</v>
      </c>
      <c r="G39" s="32" t="n">
        <v>12.0707</v>
      </c>
      <c r="H39" s="32" t="n">
        <v>0.7323</v>
      </c>
      <c r="I39" s="33" t="n">
        <v>1.447</v>
      </c>
      <c r="J39" s="33" t="n">
        <v>0.3339</v>
      </c>
      <c r="K39" s="33" t="n">
        <v>0</v>
      </c>
      <c r="L39" s="33" t="n">
        <v>0.0043</v>
      </c>
      <c r="M39" s="32" t="n">
        <v>2.2941</v>
      </c>
      <c r="N39" s="32" t="n">
        <v>0.7127</v>
      </c>
      <c r="O39" s="32" t="n">
        <v>1.0888</v>
      </c>
      <c r="P39" s="32" t="inlineStr">
        <is>
          <t>[x]</t>
        </is>
      </c>
      <c r="Q39" s="32" t="n">
        <v>87.2248</v>
      </c>
      <c r="R39" s="31">
        <f>TRUE()</f>
        <v/>
      </c>
      <c r="S39" s="31">
        <f>TRUE()</f>
        <v/>
      </c>
      <c r="T39" s="31">
        <f>TRUE()</f>
        <v/>
      </c>
      <c r="U39" s="31">
        <f>TRUE()</f>
        <v/>
      </c>
    </row>
    <row r="40" ht="15" customHeight="1" s="22">
      <c r="A40" s="31" t="n">
        <v>2008</v>
      </c>
      <c r="B40" s="31" t="n">
        <v>4</v>
      </c>
      <c r="C40" s="31">
        <f>FALSE()</f>
        <v/>
      </c>
      <c r="D40" s="32" t="n">
        <v>38.2788</v>
      </c>
      <c r="E40" s="32" t="n">
        <v>2.45</v>
      </c>
      <c r="F40" s="32" t="n">
        <v>40.8547</v>
      </c>
      <c r="G40" s="32" t="n">
        <v>13.7516</v>
      </c>
      <c r="H40" s="32" t="n">
        <v>1.5756</v>
      </c>
      <c r="I40" s="33" t="n">
        <v>1.447</v>
      </c>
      <c r="J40" s="33" t="n">
        <v>0.3339</v>
      </c>
      <c r="K40" s="33" t="n">
        <v>0</v>
      </c>
      <c r="L40" s="33" t="n">
        <v>0.0043</v>
      </c>
      <c r="M40" s="32" t="n">
        <v>2.5794</v>
      </c>
      <c r="N40" s="32" t="n">
        <v>0.7766999999999999</v>
      </c>
      <c r="O40" s="32" t="n">
        <v>1.1128</v>
      </c>
      <c r="P40" s="32" t="inlineStr">
        <is>
          <t>[x]</t>
        </is>
      </c>
      <c r="Q40" s="32" t="n">
        <v>103.7253</v>
      </c>
      <c r="R40" s="31">
        <f>TRUE()</f>
        <v/>
      </c>
      <c r="S40" s="31">
        <f>TRUE()</f>
        <v/>
      </c>
      <c r="T40" s="31">
        <f>TRUE()</f>
        <v/>
      </c>
      <c r="U40" s="31">
        <f>TRUE()</f>
        <v/>
      </c>
    </row>
    <row r="41" ht="15" customHeight="1" s="22">
      <c r="A41" s="31" t="n">
        <v>2009</v>
      </c>
      <c r="B41" s="31" t="n">
        <v>1</v>
      </c>
      <c r="C41" s="31">
        <f>FALSE()</f>
        <v/>
      </c>
      <c r="D41" s="32" t="n">
        <v>39.8344</v>
      </c>
      <c r="E41" s="32" t="n">
        <v>2.1489</v>
      </c>
      <c r="F41" s="32" t="n">
        <v>37.9905</v>
      </c>
      <c r="G41" s="32" t="n">
        <v>16.9531</v>
      </c>
      <c r="H41" s="32" t="n">
        <v>1.5662</v>
      </c>
      <c r="I41" s="33" t="n">
        <v>1.8823</v>
      </c>
      <c r="J41" s="33" t="n">
        <v>0.4385</v>
      </c>
      <c r="K41" s="33" t="n">
        <v>0.0002</v>
      </c>
      <c r="L41" s="33" t="n">
        <v>0.005</v>
      </c>
      <c r="M41" s="32" t="n">
        <v>2.8196</v>
      </c>
      <c r="N41" s="32" t="n">
        <v>0.8195</v>
      </c>
      <c r="O41" s="32" t="n">
        <v>1.0413</v>
      </c>
      <c r="P41" s="32" t="inlineStr">
        <is>
          <t>[x]</t>
        </is>
      </c>
      <c r="Q41" s="32" t="n">
        <v>105.7753</v>
      </c>
      <c r="R41" s="31">
        <f>TRUE()</f>
        <v/>
      </c>
      <c r="S41" s="31">
        <f>TRUE()</f>
        <v/>
      </c>
      <c r="T41" s="31">
        <f>TRUE()</f>
        <v/>
      </c>
      <c r="U41" s="31">
        <f>TRUE()</f>
        <v/>
      </c>
    </row>
    <row r="42" ht="15" customHeight="1" s="22">
      <c r="A42" s="31" t="n">
        <v>2009</v>
      </c>
      <c r="B42" s="31" t="n">
        <v>2</v>
      </c>
      <c r="C42" s="31">
        <f>FALSE()</f>
        <v/>
      </c>
      <c r="D42" s="32" t="n">
        <v>20.1269</v>
      </c>
      <c r="E42" s="32" t="n">
        <v>1.1302</v>
      </c>
      <c r="F42" s="32" t="n">
        <v>38.8286</v>
      </c>
      <c r="G42" s="32" t="n">
        <v>18.1116</v>
      </c>
      <c r="H42" s="32" t="n">
        <v>0.9171</v>
      </c>
      <c r="I42" s="33" t="n">
        <v>1.8823</v>
      </c>
      <c r="J42" s="33" t="n">
        <v>0.4385</v>
      </c>
      <c r="K42" s="33" t="n">
        <v>0.0002</v>
      </c>
      <c r="L42" s="33" t="n">
        <v>0.005</v>
      </c>
      <c r="M42" s="32" t="n">
        <v>2.5401</v>
      </c>
      <c r="N42" s="32" t="n">
        <v>0.7486</v>
      </c>
      <c r="O42" s="32" t="n">
        <v>0.8229</v>
      </c>
      <c r="P42" s="32" t="inlineStr">
        <is>
          <t>[x]</t>
        </is>
      </c>
      <c r="Q42" s="32" t="n">
        <v>85.2111</v>
      </c>
      <c r="R42" s="31">
        <f>TRUE()</f>
        <v/>
      </c>
      <c r="S42" s="31">
        <f>TRUE()</f>
        <v/>
      </c>
      <c r="T42" s="31">
        <f>TRUE()</f>
        <v/>
      </c>
      <c r="U42" s="31">
        <f>TRUE()</f>
        <v/>
      </c>
    </row>
    <row r="43" ht="15" customHeight="1" s="22">
      <c r="A43" s="31" t="n">
        <v>2009</v>
      </c>
      <c r="B43" s="31" t="n">
        <v>3</v>
      </c>
      <c r="C43" s="31">
        <f>FALSE()</f>
        <v/>
      </c>
      <c r="D43" s="32" t="n">
        <v>16.4041</v>
      </c>
      <c r="E43" s="32" t="n">
        <v>1.1399</v>
      </c>
      <c r="F43" s="32" t="n">
        <v>42.8623</v>
      </c>
      <c r="G43" s="32" t="n">
        <v>17.7288</v>
      </c>
      <c r="H43" s="32" t="n">
        <v>1.1344</v>
      </c>
      <c r="I43" s="33" t="n">
        <v>1.8823</v>
      </c>
      <c r="J43" s="33" t="n">
        <v>0.4385</v>
      </c>
      <c r="K43" s="33" t="n">
        <v>0.0002</v>
      </c>
      <c r="L43" s="33" t="n">
        <v>0.005</v>
      </c>
      <c r="M43" s="32" t="n">
        <v>2.4893</v>
      </c>
      <c r="N43" s="32" t="n">
        <v>0.847</v>
      </c>
      <c r="O43" s="32" t="n">
        <v>0.9074</v>
      </c>
      <c r="P43" s="32" t="inlineStr">
        <is>
          <t>[x]</t>
        </is>
      </c>
      <c r="Q43" s="32" t="n">
        <v>85.6326</v>
      </c>
      <c r="R43" s="31">
        <f>TRUE()</f>
        <v/>
      </c>
      <c r="S43" s="31">
        <f>TRUE()</f>
        <v/>
      </c>
      <c r="T43" s="31">
        <f>TRUE()</f>
        <v/>
      </c>
      <c r="U43" s="31">
        <f>TRUE()</f>
        <v/>
      </c>
    </row>
    <row r="44" ht="15" customHeight="1" s="22">
      <c r="A44" s="31" t="n">
        <v>2009</v>
      </c>
      <c r="B44" s="31" t="n">
        <v>4</v>
      </c>
      <c r="C44" s="31">
        <f>FALSE()</f>
        <v/>
      </c>
      <c r="D44" s="32" t="n">
        <v>26.6726</v>
      </c>
      <c r="E44" s="32" t="n">
        <v>1.5756</v>
      </c>
      <c r="F44" s="32" t="n">
        <v>46.8173</v>
      </c>
      <c r="G44" s="32" t="n">
        <v>16.3041</v>
      </c>
      <c r="H44" s="32" t="n">
        <v>1.6101</v>
      </c>
      <c r="I44" s="33" t="n">
        <v>1.8823</v>
      </c>
      <c r="J44" s="33" t="n">
        <v>0.4385</v>
      </c>
      <c r="K44" s="33" t="n">
        <v>0.0002</v>
      </c>
      <c r="L44" s="33" t="n">
        <v>0.005</v>
      </c>
      <c r="M44" s="32" t="n">
        <v>2.8653</v>
      </c>
      <c r="N44" s="32" t="n">
        <v>0.7806999999999999</v>
      </c>
      <c r="O44" s="32" t="n">
        <v>0.9136</v>
      </c>
      <c r="P44" s="32" t="inlineStr">
        <is>
          <t>[x]</t>
        </is>
      </c>
      <c r="Q44" s="32" t="n">
        <v>100.1348</v>
      </c>
      <c r="R44" s="31">
        <f>TRUE()</f>
        <v/>
      </c>
      <c r="S44" s="31">
        <f>TRUE()</f>
        <v/>
      </c>
      <c r="T44" s="31">
        <f>TRUE()</f>
        <v/>
      </c>
      <c r="U44" s="31">
        <f>TRUE()</f>
        <v/>
      </c>
    </row>
    <row r="45" ht="15" customHeight="1" s="22">
      <c r="A45" s="31" t="n">
        <v>2010</v>
      </c>
      <c r="B45" s="31" t="n">
        <v>1</v>
      </c>
      <c r="C45" s="31">
        <f>FALSE()</f>
        <v/>
      </c>
      <c r="D45" s="32" t="n">
        <v>32.6166</v>
      </c>
      <c r="E45" s="32" t="n">
        <v>1.4378</v>
      </c>
      <c r="F45" s="32" t="n">
        <v>48.1857</v>
      </c>
      <c r="G45" s="32" t="n">
        <v>18.1902</v>
      </c>
      <c r="H45" s="32" t="n">
        <v>0.8449</v>
      </c>
      <c r="I45" s="32" t="n">
        <v>1.7574</v>
      </c>
      <c r="J45" s="32" t="n">
        <v>0.6709000000000001</v>
      </c>
      <c r="K45" s="32" t="n">
        <v>0.0005</v>
      </c>
      <c r="L45" s="32" t="n">
        <v>0.0057</v>
      </c>
      <c r="M45" s="32" t="n">
        <v>2.9693</v>
      </c>
      <c r="N45" s="32" t="n">
        <v>0.6398</v>
      </c>
      <c r="O45" s="32" t="n">
        <v>0.8647</v>
      </c>
      <c r="P45" s="32" t="inlineStr">
        <is>
          <t>[x]</t>
        </is>
      </c>
      <c r="Q45" s="32" t="n">
        <v>108.1833</v>
      </c>
      <c r="R45" s="31">
        <f>FALSE()</f>
        <v/>
      </c>
      <c r="S45" s="31">
        <f>FALSE()</f>
        <v/>
      </c>
      <c r="T45" s="31">
        <f>FALSE()</f>
        <v/>
      </c>
      <c r="U45" s="31">
        <f>FALSE()</f>
        <v/>
      </c>
    </row>
    <row r="46" ht="15" customHeight="1" s="22">
      <c r="A46" s="31" t="n">
        <v>2010</v>
      </c>
      <c r="B46" s="31" t="n">
        <v>2</v>
      </c>
      <c r="C46" s="31">
        <f>FALSE()</f>
        <v/>
      </c>
      <c r="D46" s="32" t="n">
        <v>19.5307</v>
      </c>
      <c r="E46" s="32" t="n">
        <v>0.9248</v>
      </c>
      <c r="F46" s="32" t="n">
        <v>45.4867</v>
      </c>
      <c r="G46" s="32" t="n">
        <v>13.8797</v>
      </c>
      <c r="H46" s="32" t="n">
        <v>0.6525</v>
      </c>
      <c r="I46" s="32" t="n">
        <v>1.1985</v>
      </c>
      <c r="J46" s="32" t="n">
        <v>0.4604</v>
      </c>
      <c r="K46" s="32" t="n">
        <v>0.0005999999999999999</v>
      </c>
      <c r="L46" s="32" t="n">
        <v>0.0112</v>
      </c>
      <c r="M46" s="32" t="n">
        <v>2.9286</v>
      </c>
      <c r="N46" s="32" t="n">
        <v>0.6703</v>
      </c>
      <c r="O46" s="32" t="n">
        <v>0.7627</v>
      </c>
      <c r="P46" s="32" t="inlineStr">
        <is>
          <t>[x]</t>
        </is>
      </c>
      <c r="Q46" s="32" t="n">
        <v>86.5067</v>
      </c>
      <c r="R46" s="31">
        <f>FALSE()</f>
        <v/>
      </c>
      <c r="S46" s="31">
        <f>FALSE()</f>
        <v/>
      </c>
      <c r="T46" s="31">
        <f>FALSE()</f>
        <v/>
      </c>
      <c r="U46" s="31">
        <f>FALSE()</f>
        <v/>
      </c>
    </row>
    <row r="47" ht="15" customHeight="1" s="22">
      <c r="A47" s="31" t="n">
        <v>2010</v>
      </c>
      <c r="B47" s="31" t="n">
        <v>3</v>
      </c>
      <c r="C47" s="31">
        <f>FALSE()</f>
        <v/>
      </c>
      <c r="D47" s="32" t="n">
        <v>19.7906</v>
      </c>
      <c r="E47" s="32" t="n">
        <v>1.1368</v>
      </c>
      <c r="F47" s="32" t="n">
        <v>40.83</v>
      </c>
      <c r="G47" s="32" t="n">
        <v>13.0171</v>
      </c>
      <c r="H47" s="32" t="n">
        <v>0.8557</v>
      </c>
      <c r="I47" s="32" t="n">
        <v>1.9337</v>
      </c>
      <c r="J47" s="32" t="n">
        <v>0.8257</v>
      </c>
      <c r="K47" s="32" t="n">
        <v>0.0005999999999999999</v>
      </c>
      <c r="L47" s="32" t="n">
        <v>0.0145</v>
      </c>
      <c r="M47" s="32" t="n">
        <v>3.1264</v>
      </c>
      <c r="N47" s="32" t="n">
        <v>0.6415999999999999</v>
      </c>
      <c r="O47" s="32" t="n">
        <v>0.705</v>
      </c>
      <c r="P47" s="32" t="inlineStr">
        <is>
          <t>[x]</t>
        </is>
      </c>
      <c r="Q47" s="32" t="n">
        <v>82.8777</v>
      </c>
      <c r="R47" s="31">
        <f>FALSE()</f>
        <v/>
      </c>
      <c r="S47" s="31">
        <f>FALSE()</f>
        <v/>
      </c>
      <c r="T47" s="31">
        <f>FALSE()</f>
        <v/>
      </c>
      <c r="U47" s="31">
        <f>FALSE()</f>
        <v/>
      </c>
    </row>
    <row r="48" ht="15" customHeight="1" s="22">
      <c r="A48" s="31" t="n">
        <v>2010</v>
      </c>
      <c r="B48" s="31" t="n">
        <v>4</v>
      </c>
      <c r="C48" s="31">
        <f>FALSE()</f>
        <v/>
      </c>
      <c r="D48" s="32" t="n">
        <v>35.6563</v>
      </c>
      <c r="E48" s="32" t="n">
        <v>1.3061</v>
      </c>
      <c r="F48" s="32" t="n">
        <v>41.1511</v>
      </c>
      <c r="G48" s="32" t="n">
        <v>17.0527</v>
      </c>
      <c r="H48" s="32" t="n">
        <v>1.2383</v>
      </c>
      <c r="I48" s="32" t="n">
        <v>2.3364</v>
      </c>
      <c r="J48" s="32" t="n">
        <v>1.1027</v>
      </c>
      <c r="K48" s="32" t="n">
        <v>0.0001</v>
      </c>
      <c r="L48" s="32" t="n">
        <v>0.0089</v>
      </c>
      <c r="M48" s="32" t="n">
        <v>3.237</v>
      </c>
      <c r="N48" s="32" t="n">
        <v>0.593</v>
      </c>
      <c r="O48" s="32" t="n">
        <v>0.8181</v>
      </c>
      <c r="P48" s="32" t="inlineStr">
        <is>
          <t>[x]</t>
        </is>
      </c>
      <c r="Q48" s="32" t="n">
        <v>104.5006</v>
      </c>
      <c r="R48" s="31">
        <f>FALSE()</f>
        <v/>
      </c>
      <c r="S48" s="31">
        <f>FALSE()</f>
        <v/>
      </c>
      <c r="T48" s="31">
        <f>FALSE()</f>
        <v/>
      </c>
      <c r="U48" s="31">
        <f>FALSE()</f>
        <v/>
      </c>
    </row>
    <row r="49" ht="15" customHeight="1" s="22">
      <c r="A49" s="31" t="n">
        <v>2011</v>
      </c>
      <c r="B49" s="31" t="n">
        <v>1</v>
      </c>
      <c r="C49" s="31">
        <f>FALSE()</f>
        <v/>
      </c>
      <c r="D49" s="32" t="n">
        <v>35.1264</v>
      </c>
      <c r="E49" s="32" t="n">
        <v>0.9069</v>
      </c>
      <c r="F49" s="32" t="n">
        <v>38.3009</v>
      </c>
      <c r="G49" s="32" t="n">
        <v>19.4516</v>
      </c>
      <c r="H49" s="32" t="n">
        <v>1.3037</v>
      </c>
      <c r="I49" s="32" t="n">
        <v>2.3966</v>
      </c>
      <c r="J49" s="32" t="n">
        <v>0.9981</v>
      </c>
      <c r="K49" s="32" t="n">
        <v>0.0002</v>
      </c>
      <c r="L49" s="32" t="n">
        <v>0.0153</v>
      </c>
      <c r="M49" s="32" t="n">
        <v>3.3614</v>
      </c>
      <c r="N49" s="32" t="n">
        <v>0.7383999999999999</v>
      </c>
      <c r="O49" s="32" t="n">
        <v>0.7704</v>
      </c>
      <c r="P49" s="32" t="inlineStr">
        <is>
          <t>[x]</t>
        </is>
      </c>
      <c r="Q49" s="32" t="n">
        <v>103.3699</v>
      </c>
      <c r="R49" s="31">
        <f>FALSE()</f>
        <v/>
      </c>
      <c r="S49" s="31">
        <f>FALSE()</f>
        <v/>
      </c>
      <c r="T49" s="31">
        <f>FALSE()</f>
        <v/>
      </c>
      <c r="U49" s="31">
        <f>FALSE()</f>
        <v/>
      </c>
    </row>
    <row r="50" ht="15" customHeight="1" s="22">
      <c r="A50" s="31" t="n">
        <v>2011</v>
      </c>
      <c r="B50" s="31" t="n">
        <v>2</v>
      </c>
      <c r="C50" s="31">
        <f>FALSE()</f>
        <v/>
      </c>
      <c r="D50" s="32" t="n">
        <v>19.041</v>
      </c>
      <c r="E50" s="32" t="n">
        <v>0.5614</v>
      </c>
      <c r="F50" s="32" t="n">
        <v>36.9241</v>
      </c>
      <c r="G50" s="32" t="n">
        <v>19.1546</v>
      </c>
      <c r="H50" s="32" t="n">
        <v>1.1416</v>
      </c>
      <c r="I50" s="32" t="n">
        <v>2.4922</v>
      </c>
      <c r="J50" s="32" t="n">
        <v>1.1286</v>
      </c>
      <c r="K50" s="32" t="n">
        <v>0.0003</v>
      </c>
      <c r="L50" s="32" t="n">
        <v>0.06610000000000001</v>
      </c>
      <c r="M50" s="32" t="n">
        <v>3.1551</v>
      </c>
      <c r="N50" s="32" t="n">
        <v>0.7477</v>
      </c>
      <c r="O50" s="32" t="n">
        <v>0.6536</v>
      </c>
      <c r="P50" s="32" t="inlineStr">
        <is>
          <t>[x]</t>
        </is>
      </c>
      <c r="Q50" s="32" t="n">
        <v>85.0663</v>
      </c>
      <c r="R50" s="31">
        <f>FALSE()</f>
        <v/>
      </c>
      <c r="S50" s="31">
        <f>FALSE()</f>
        <v/>
      </c>
      <c r="T50" s="31">
        <f>FALSE()</f>
        <v/>
      </c>
      <c r="U50" s="31">
        <f>FALSE()</f>
        <v/>
      </c>
    </row>
    <row r="51" ht="15" customHeight="1" s="22">
      <c r="A51" s="31" t="n">
        <v>2011</v>
      </c>
      <c r="B51" s="31" t="n">
        <v>3</v>
      </c>
      <c r="C51" s="31">
        <f>FALSE()</f>
        <v/>
      </c>
      <c r="D51" s="32" t="n">
        <v>19.0959</v>
      </c>
      <c r="E51" s="32" t="n">
        <v>0.7718</v>
      </c>
      <c r="F51" s="32" t="n">
        <v>38.6148</v>
      </c>
      <c r="G51" s="32" t="n">
        <v>15.7581</v>
      </c>
      <c r="H51" s="32" t="n">
        <v>1.2313</v>
      </c>
      <c r="I51" s="32" t="n">
        <v>1.9148</v>
      </c>
      <c r="J51" s="32" t="n">
        <v>1.0985</v>
      </c>
      <c r="K51" s="32" t="n">
        <v>0.0002</v>
      </c>
      <c r="L51" s="32" t="n">
        <v>0.1052</v>
      </c>
      <c r="M51" s="32" t="n">
        <v>3.3483</v>
      </c>
      <c r="N51" s="32" t="n">
        <v>0.779</v>
      </c>
      <c r="O51" s="32" t="n">
        <v>0.7019</v>
      </c>
      <c r="P51" s="32" t="inlineStr">
        <is>
          <t>[x]</t>
        </is>
      </c>
      <c r="Q51" s="32" t="n">
        <v>83.4199</v>
      </c>
      <c r="R51" s="31">
        <f>FALSE()</f>
        <v/>
      </c>
      <c r="S51" s="31">
        <f>FALSE()</f>
        <v/>
      </c>
      <c r="T51" s="31">
        <f>FALSE()</f>
        <v/>
      </c>
      <c r="U51" s="31">
        <f>FALSE()</f>
        <v/>
      </c>
    </row>
    <row r="52" ht="15" customHeight="1" s="22">
      <c r="A52" s="31" t="n">
        <v>2011</v>
      </c>
      <c r="B52" s="31" t="n">
        <v>4</v>
      </c>
      <c r="C52" s="31">
        <f>FALSE()</f>
        <v/>
      </c>
      <c r="D52" s="32" t="n">
        <v>35.179</v>
      </c>
      <c r="E52" s="32" t="n">
        <v>0.8788</v>
      </c>
      <c r="F52" s="32" t="n">
        <v>32.6591</v>
      </c>
      <c r="G52" s="32" t="n">
        <v>14.6161</v>
      </c>
      <c r="H52" s="32" t="n">
        <v>2.0152</v>
      </c>
      <c r="I52" s="32" t="n">
        <v>4.0104</v>
      </c>
      <c r="J52" s="32" t="n">
        <v>1.9239</v>
      </c>
      <c r="K52" s="32" t="n">
        <v>0.0002</v>
      </c>
      <c r="L52" s="32" t="n">
        <v>0.0571</v>
      </c>
      <c r="M52" s="32" t="n">
        <v>3.448</v>
      </c>
      <c r="N52" s="32" t="n">
        <v>0.5583</v>
      </c>
      <c r="O52" s="32" t="n">
        <v>0.7796</v>
      </c>
      <c r="P52" s="32" t="inlineStr">
        <is>
          <t>[x]</t>
        </is>
      </c>
      <c r="Q52" s="32" t="n">
        <v>96.1258</v>
      </c>
      <c r="R52" s="31">
        <f>FALSE()</f>
        <v/>
      </c>
      <c r="S52" s="31">
        <f>FALSE()</f>
        <v/>
      </c>
      <c r="T52" s="31">
        <f>FALSE()</f>
        <v/>
      </c>
      <c r="U52" s="31">
        <f>FALSE()</f>
        <v/>
      </c>
    </row>
    <row r="53" ht="15" customHeight="1" s="22">
      <c r="A53" s="31" t="n">
        <v>2012</v>
      </c>
      <c r="B53" s="31" t="n">
        <v>1</v>
      </c>
      <c r="C53" s="31">
        <f>FALSE()</f>
        <v/>
      </c>
      <c r="D53" s="32" t="n">
        <v>42.0411</v>
      </c>
      <c r="E53" s="32" t="n">
        <v>0.8557</v>
      </c>
      <c r="F53" s="32" t="n">
        <v>27.226</v>
      </c>
      <c r="G53" s="32" t="n">
        <v>17.1989</v>
      </c>
      <c r="H53" s="32" t="n">
        <v>1.8251</v>
      </c>
      <c r="I53" s="32" t="n">
        <v>3.5652</v>
      </c>
      <c r="J53" s="32" t="n">
        <v>1.507</v>
      </c>
      <c r="K53" s="32" t="n">
        <v>0.001</v>
      </c>
      <c r="L53" s="32" t="n">
        <v>0.1782</v>
      </c>
      <c r="M53" s="32" t="n">
        <v>3.9257</v>
      </c>
      <c r="N53" s="32" t="n">
        <v>0.7812</v>
      </c>
      <c r="O53" s="32" t="n">
        <v>0.794</v>
      </c>
      <c r="P53" s="32" t="inlineStr">
        <is>
          <t>[x]</t>
        </is>
      </c>
      <c r="Q53" s="32" t="n">
        <v>99.8991</v>
      </c>
      <c r="R53" s="31">
        <f>FALSE()</f>
        <v/>
      </c>
      <c r="S53" s="31">
        <f>FALSE()</f>
        <v/>
      </c>
      <c r="T53" s="31">
        <f>FALSE()</f>
        <v/>
      </c>
      <c r="U53" s="31">
        <f>FALSE()</f>
        <v/>
      </c>
    </row>
    <row r="54" ht="15" customHeight="1" s="22">
      <c r="A54" s="31" t="n">
        <v>2012</v>
      </c>
      <c r="B54" s="31" t="n">
        <v>2</v>
      </c>
      <c r="C54" s="31">
        <f>FALSE()</f>
        <v/>
      </c>
      <c r="D54" s="32" t="n">
        <v>31.2252</v>
      </c>
      <c r="E54" s="32" t="n">
        <v>0.6726</v>
      </c>
      <c r="F54" s="32" t="n">
        <v>25.2327</v>
      </c>
      <c r="G54" s="32" t="n">
        <v>18.5256</v>
      </c>
      <c r="H54" s="32" t="n">
        <v>0.7955</v>
      </c>
      <c r="I54" s="32" t="n">
        <v>2.242</v>
      </c>
      <c r="J54" s="32" t="n">
        <v>1.6499</v>
      </c>
      <c r="K54" s="32" t="n">
        <v>0.0009</v>
      </c>
      <c r="L54" s="32" t="n">
        <v>0.4378</v>
      </c>
      <c r="M54" s="32" t="n">
        <v>3.0077</v>
      </c>
      <c r="N54" s="32" t="n">
        <v>0.8633999999999999</v>
      </c>
      <c r="O54" s="32" t="n">
        <v>0.6747</v>
      </c>
      <c r="P54" s="32" t="inlineStr">
        <is>
          <t>[x]</t>
        </is>
      </c>
      <c r="Q54" s="32" t="n">
        <v>85.328</v>
      </c>
      <c r="R54" s="31">
        <f>FALSE()</f>
        <v/>
      </c>
      <c r="S54" s="31">
        <f>FALSE()</f>
        <v/>
      </c>
      <c r="T54" s="31">
        <f>FALSE()</f>
        <v/>
      </c>
      <c r="U54" s="31">
        <f>FALSE()</f>
        <v/>
      </c>
    </row>
    <row r="55" ht="15" customHeight="1" s="22">
      <c r="A55" s="31" t="n">
        <v>2012</v>
      </c>
      <c r="B55" s="31" t="n">
        <v>3</v>
      </c>
      <c r="C55" s="31">
        <f>FALSE()</f>
        <v/>
      </c>
      <c r="D55" s="32" t="n">
        <v>28.7731</v>
      </c>
      <c r="E55" s="32" t="n">
        <v>0.5629999999999999</v>
      </c>
      <c r="F55" s="32" t="n">
        <v>22.9812</v>
      </c>
      <c r="G55" s="32" t="n">
        <v>18.0309</v>
      </c>
      <c r="H55" s="32" t="n">
        <v>1.0535</v>
      </c>
      <c r="I55" s="32" t="n">
        <v>2.6475</v>
      </c>
      <c r="J55" s="32" t="n">
        <v>1.7074</v>
      </c>
      <c r="K55" s="32" t="n">
        <v>0.0012</v>
      </c>
      <c r="L55" s="32" t="n">
        <v>0.5541</v>
      </c>
      <c r="M55" s="32" t="n">
        <v>3.5445</v>
      </c>
      <c r="N55" s="32" t="n">
        <v>0.878</v>
      </c>
      <c r="O55" s="32" t="n">
        <v>0.7050999999999999</v>
      </c>
      <c r="P55" s="32" t="inlineStr">
        <is>
          <t>[x]</t>
        </is>
      </c>
      <c r="Q55" s="32" t="n">
        <v>81.4396</v>
      </c>
      <c r="R55" s="31">
        <f>FALSE()</f>
        <v/>
      </c>
      <c r="S55" s="31">
        <f>FALSE()</f>
        <v/>
      </c>
      <c r="T55" s="31">
        <f>FALSE()</f>
        <v/>
      </c>
      <c r="U55" s="31">
        <f>FALSE()</f>
        <v/>
      </c>
    </row>
    <row r="56" ht="15" customHeight="1" s="22">
      <c r="A56" s="31" t="n">
        <v>2012</v>
      </c>
      <c r="B56" s="31" t="n">
        <v>4</v>
      </c>
      <c r="C56" s="31">
        <f>FALSE()</f>
        <v/>
      </c>
      <c r="D56" s="32" t="n">
        <v>40.7526</v>
      </c>
      <c r="E56" s="32" t="n">
        <v>0.8</v>
      </c>
      <c r="F56" s="32" t="n">
        <v>24.7296</v>
      </c>
      <c r="G56" s="32" t="n">
        <v>16.6496</v>
      </c>
      <c r="H56" s="32" t="n">
        <v>1.635</v>
      </c>
      <c r="I56" s="32" t="n">
        <v>3.7892</v>
      </c>
      <c r="J56" s="32" t="n">
        <v>2.7387</v>
      </c>
      <c r="K56" s="32" t="n">
        <v>0.0012</v>
      </c>
      <c r="L56" s="32" t="n">
        <v>0.1836</v>
      </c>
      <c r="M56" s="32" t="n">
        <v>4.2559</v>
      </c>
      <c r="N56" s="32" t="n">
        <v>0.878</v>
      </c>
      <c r="O56" s="32" t="n">
        <v>0.7927</v>
      </c>
      <c r="P56" s="32" t="inlineStr">
        <is>
          <t>[x]</t>
        </is>
      </c>
      <c r="Q56" s="32" t="n">
        <v>97.2063</v>
      </c>
      <c r="R56" s="31">
        <f>FALSE()</f>
        <v/>
      </c>
      <c r="S56" s="31">
        <f>FALSE()</f>
        <v/>
      </c>
      <c r="T56" s="31">
        <f>FALSE()</f>
        <v/>
      </c>
      <c r="U56" s="31">
        <f>FALSE()</f>
        <v/>
      </c>
    </row>
    <row r="57" ht="15" customHeight="1" s="22">
      <c r="A57" s="31" t="n">
        <v>2013</v>
      </c>
      <c r="B57" s="31" t="n">
        <v>1</v>
      </c>
      <c r="C57" s="31">
        <f>FALSE()</f>
        <v/>
      </c>
      <c r="D57" s="32" t="n">
        <v>41.4258</v>
      </c>
      <c r="E57" s="32" t="n">
        <v>0.5263</v>
      </c>
      <c r="F57" s="32" t="n">
        <v>27.2375</v>
      </c>
      <c r="G57" s="32" t="n">
        <v>18.2848</v>
      </c>
      <c r="H57" s="32" t="n">
        <v>1.2522</v>
      </c>
      <c r="I57" s="32" t="n">
        <v>3.9745</v>
      </c>
      <c r="J57" s="32" t="n">
        <v>2.8046</v>
      </c>
      <c r="K57" s="32" t="n">
        <v>0.0013</v>
      </c>
      <c r="L57" s="32" t="n">
        <v>0.1402</v>
      </c>
      <c r="M57" s="32" t="n">
        <v>4.1396</v>
      </c>
      <c r="N57" s="32" t="n">
        <v>0.8407</v>
      </c>
      <c r="O57" s="32" t="n">
        <v>0.7421</v>
      </c>
      <c r="P57" s="32" t="inlineStr">
        <is>
          <t>[x]</t>
        </is>
      </c>
      <c r="Q57" s="32" t="n">
        <v>101.3696</v>
      </c>
      <c r="R57" s="31">
        <f>FALSE()</f>
        <v/>
      </c>
      <c r="S57" s="31">
        <f>FALSE()</f>
        <v/>
      </c>
      <c r="T57" s="31">
        <f>FALSE()</f>
        <v/>
      </c>
      <c r="U57" s="31">
        <f>FALSE()</f>
        <v/>
      </c>
    </row>
    <row r="58" ht="15" customHeight="1" s="22">
      <c r="A58" s="31" t="n">
        <v>2013</v>
      </c>
      <c r="B58" s="31" t="n">
        <v>2</v>
      </c>
      <c r="C58" s="31">
        <f>FALSE()</f>
        <v/>
      </c>
      <c r="D58" s="32" t="n">
        <v>28.8372</v>
      </c>
      <c r="E58" s="32" t="n">
        <v>0.4613</v>
      </c>
      <c r="F58" s="32" t="n">
        <v>24.1653</v>
      </c>
      <c r="G58" s="32" t="n">
        <v>15.4703</v>
      </c>
      <c r="H58" s="32" t="n">
        <v>0.9694</v>
      </c>
      <c r="I58" s="32" t="n">
        <v>3.8736</v>
      </c>
      <c r="J58" s="32" t="n">
        <v>2.6149</v>
      </c>
      <c r="K58" s="32" t="n">
        <v>0.0011</v>
      </c>
      <c r="L58" s="32" t="n">
        <v>0.701</v>
      </c>
      <c r="M58" s="32" t="n">
        <v>5.0619</v>
      </c>
      <c r="N58" s="32" t="n">
        <v>0.8853</v>
      </c>
      <c r="O58" s="32" t="n">
        <v>0.6916</v>
      </c>
      <c r="P58" s="32" t="inlineStr">
        <is>
          <t>[x]</t>
        </is>
      </c>
      <c r="Q58" s="32" t="n">
        <v>83.733</v>
      </c>
      <c r="R58" s="31">
        <f>FALSE()</f>
        <v/>
      </c>
      <c r="S58" s="31">
        <f>FALSE()</f>
        <v/>
      </c>
      <c r="T58" s="31">
        <f>FALSE()</f>
        <v/>
      </c>
      <c r="U58" s="31">
        <f>FALSE()</f>
        <v/>
      </c>
    </row>
    <row r="59" ht="15" customHeight="1" s="22">
      <c r="A59" s="31" t="n">
        <v>2013</v>
      </c>
      <c r="B59" s="31" t="n">
        <v>3</v>
      </c>
      <c r="C59" s="31">
        <f>FALSE()</f>
        <v/>
      </c>
      <c r="D59" s="32" t="n">
        <v>26.5523</v>
      </c>
      <c r="E59" s="32" t="n">
        <v>0.5911999999999999</v>
      </c>
      <c r="F59" s="32" t="n">
        <v>21.3326</v>
      </c>
      <c r="G59" s="32" t="n">
        <v>18.6876</v>
      </c>
      <c r="H59" s="32" t="n">
        <v>0.7433999999999999</v>
      </c>
      <c r="I59" s="32" t="n">
        <v>2.7685</v>
      </c>
      <c r="J59" s="32" t="n">
        <v>1.9653</v>
      </c>
      <c r="K59" s="32" t="n">
        <v>0.001</v>
      </c>
      <c r="L59" s="32" t="n">
        <v>0.8596</v>
      </c>
      <c r="M59" s="32" t="n">
        <v>4.4595</v>
      </c>
      <c r="N59" s="32" t="n">
        <v>0.8324</v>
      </c>
      <c r="O59" s="32" t="n">
        <v>0.7076</v>
      </c>
      <c r="P59" s="32" t="inlineStr">
        <is>
          <t>[x]</t>
        </is>
      </c>
      <c r="Q59" s="32" t="n">
        <v>79.501</v>
      </c>
      <c r="R59" s="31">
        <f>FALSE()</f>
        <v/>
      </c>
      <c r="S59" s="31">
        <f>FALSE()</f>
        <v/>
      </c>
      <c r="T59" s="31">
        <f>FALSE()</f>
        <v/>
      </c>
      <c r="U59" s="31">
        <f>FALSE()</f>
        <v/>
      </c>
    </row>
    <row r="60" ht="15" customHeight="1" s="22">
      <c r="A60" s="31" t="n">
        <v>2013</v>
      </c>
      <c r="B60" s="31" t="n">
        <v>4</v>
      </c>
      <c r="C60" s="31">
        <f>FALSE()</f>
        <v/>
      </c>
      <c r="D60" s="32" t="n">
        <v>33.4426</v>
      </c>
      <c r="E60" s="32" t="n">
        <v>0.4874</v>
      </c>
      <c r="F60" s="32" t="n">
        <v>23.1075</v>
      </c>
      <c r="G60" s="32" t="n">
        <v>18.1641</v>
      </c>
      <c r="H60" s="32" t="n">
        <v>1.7365</v>
      </c>
      <c r="I60" s="32" t="n">
        <v>6.3088</v>
      </c>
      <c r="J60" s="32" t="n">
        <v>4.0869</v>
      </c>
      <c r="K60" s="32" t="n">
        <v>0.0014</v>
      </c>
      <c r="L60" s="32" t="n">
        <v>0.3094</v>
      </c>
      <c r="M60" s="32" t="n">
        <v>4.4387</v>
      </c>
      <c r="N60" s="32" t="n">
        <v>0.8341</v>
      </c>
      <c r="O60" s="32" t="n">
        <v>0.7625999999999999</v>
      </c>
      <c r="P60" s="32" t="inlineStr">
        <is>
          <t>[x]</t>
        </is>
      </c>
      <c r="Q60" s="32" t="n">
        <v>93.6801</v>
      </c>
      <c r="R60" s="31">
        <f>FALSE()</f>
        <v/>
      </c>
      <c r="S60" s="31">
        <f>FALSE()</f>
        <v/>
      </c>
      <c r="T60" s="31">
        <f>FALSE()</f>
        <v/>
      </c>
      <c r="U60" s="31">
        <f>FALSE()</f>
        <v/>
      </c>
    </row>
    <row r="61" ht="15" customHeight="1" s="22">
      <c r="A61" s="31" t="n">
        <v>2014</v>
      </c>
      <c r="B61" s="31" t="n">
        <v>1</v>
      </c>
      <c r="C61" s="31">
        <f>FALSE()</f>
        <v/>
      </c>
      <c r="D61" s="32" t="n">
        <v>34.5486</v>
      </c>
      <c r="E61" s="32" t="n">
        <v>0.5451</v>
      </c>
      <c r="F61" s="32" t="n">
        <v>21.7456</v>
      </c>
      <c r="G61" s="32" t="n">
        <v>16.5262</v>
      </c>
      <c r="H61" s="32" t="n">
        <v>2.2434</v>
      </c>
      <c r="I61" s="32" t="n">
        <v>6.6662</v>
      </c>
      <c r="J61" s="32" t="n">
        <v>4.3838</v>
      </c>
      <c r="K61" s="32" t="n">
        <v>0.0005</v>
      </c>
      <c r="L61" s="32" t="n">
        <v>0.4704</v>
      </c>
      <c r="M61" s="32" t="n">
        <v>4.5686</v>
      </c>
      <c r="N61" s="32" t="n">
        <v>0.9883</v>
      </c>
      <c r="O61" s="32" t="n">
        <v>0.7907999999999999</v>
      </c>
      <c r="P61" s="32" t="inlineStr">
        <is>
          <t>[x]</t>
        </is>
      </c>
      <c r="Q61" s="32" t="n">
        <v>93.47750000000001</v>
      </c>
      <c r="R61" s="31">
        <f>FALSE()</f>
        <v/>
      </c>
      <c r="S61" s="31">
        <f>FALSE()</f>
        <v/>
      </c>
      <c r="T61" s="31">
        <f>FALSE()</f>
        <v/>
      </c>
      <c r="U61" s="31">
        <f>FALSE()</f>
        <v/>
      </c>
    </row>
    <row r="62" ht="15" customHeight="1" s="22">
      <c r="A62" s="31" t="n">
        <v>2014</v>
      </c>
      <c r="B62" s="31" t="n">
        <v>2</v>
      </c>
      <c r="C62" s="31">
        <f>FALSE()</f>
        <v/>
      </c>
      <c r="D62" s="32" t="n">
        <v>22.0964</v>
      </c>
      <c r="E62" s="32" t="n">
        <v>0.5112</v>
      </c>
      <c r="F62" s="32" t="n">
        <v>23.7729</v>
      </c>
      <c r="G62" s="32" t="n">
        <v>17.5033</v>
      </c>
      <c r="H62" s="32" t="n">
        <v>1.1133</v>
      </c>
      <c r="I62" s="32" t="n">
        <v>3.0364</v>
      </c>
      <c r="J62" s="32" t="n">
        <v>2.0921</v>
      </c>
      <c r="K62" s="32" t="n">
        <v>0.0009</v>
      </c>
      <c r="L62" s="32" t="n">
        <v>1.4729</v>
      </c>
      <c r="M62" s="32" t="n">
        <v>5.4493</v>
      </c>
      <c r="N62" s="32" t="n">
        <v>0.9439</v>
      </c>
      <c r="O62" s="32" t="n">
        <v>0.6711</v>
      </c>
      <c r="P62" s="32" t="inlineStr">
        <is>
          <t>[x]</t>
        </is>
      </c>
      <c r="Q62" s="32" t="n">
        <v>78.6639</v>
      </c>
      <c r="R62" s="31">
        <f>FALSE()</f>
        <v/>
      </c>
      <c r="S62" s="31">
        <f>FALSE()</f>
        <v/>
      </c>
      <c r="T62" s="31">
        <f>FALSE()</f>
        <v/>
      </c>
      <c r="U62" s="31">
        <f>FALSE()</f>
        <v/>
      </c>
    </row>
    <row r="63" ht="15" customHeight="1" s="22">
      <c r="A63" s="31" t="n">
        <v>2014</v>
      </c>
      <c r="B63" s="31" t="n">
        <v>3</v>
      </c>
      <c r="C63" s="31">
        <f>FALSE()</f>
        <v/>
      </c>
      <c r="D63" s="32" t="n">
        <v>15.8987</v>
      </c>
      <c r="E63" s="32" t="n">
        <v>0.4456</v>
      </c>
      <c r="F63" s="32" t="n">
        <v>29.1482</v>
      </c>
      <c r="G63" s="32" t="n">
        <v>15.6598</v>
      </c>
      <c r="H63" s="32" t="n">
        <v>0.7786999999999999</v>
      </c>
      <c r="I63" s="32" t="n">
        <v>2.8841</v>
      </c>
      <c r="J63" s="32" t="n">
        <v>2.2421</v>
      </c>
      <c r="K63" s="32" t="n">
        <v>0.0002</v>
      </c>
      <c r="L63" s="32" t="n">
        <v>1.5618</v>
      </c>
      <c r="M63" s="32" t="n">
        <v>5.9146</v>
      </c>
      <c r="N63" s="32" t="n">
        <v>0.9601</v>
      </c>
      <c r="O63" s="32" t="n">
        <v>0.6283</v>
      </c>
      <c r="P63" s="32" t="inlineStr">
        <is>
          <t>[x]</t>
        </is>
      </c>
      <c r="Q63" s="32" t="n">
        <v>76.12220000000001</v>
      </c>
      <c r="R63" s="31">
        <f>FALSE()</f>
        <v/>
      </c>
      <c r="S63" s="31">
        <f>FALSE()</f>
        <v/>
      </c>
      <c r="T63" s="31">
        <f>FALSE()</f>
        <v/>
      </c>
      <c r="U63" s="31">
        <f>FALSE()</f>
        <v/>
      </c>
    </row>
    <row r="64" ht="15" customHeight="1" s="22">
      <c r="A64" s="31" t="n">
        <v>2014</v>
      </c>
      <c r="B64" s="31" t="n">
        <v>4</v>
      </c>
      <c r="C64" s="31">
        <f>FALSE()</f>
        <v/>
      </c>
      <c r="D64" s="32" t="n">
        <v>27.6952</v>
      </c>
      <c r="E64" s="32" t="n">
        <v>0.4182</v>
      </c>
      <c r="F64" s="32" t="n">
        <v>26.2253</v>
      </c>
      <c r="G64" s="32" t="n">
        <v>14.0586</v>
      </c>
      <c r="H64" s="32" t="n">
        <v>1.7524</v>
      </c>
      <c r="I64" s="32" t="n">
        <v>5.9681</v>
      </c>
      <c r="J64" s="32" t="n">
        <v>4.6866</v>
      </c>
      <c r="K64" s="32" t="n">
        <v>0.0005999999999999999</v>
      </c>
      <c r="L64" s="32" t="n">
        <v>0.5489000000000001</v>
      </c>
      <c r="M64" s="32" t="n">
        <v>6.6865</v>
      </c>
      <c r="N64" s="32" t="n">
        <v>0.9989</v>
      </c>
      <c r="O64" s="32" t="n">
        <v>0.7933</v>
      </c>
      <c r="P64" s="32" t="inlineStr">
        <is>
          <t>[x]</t>
        </is>
      </c>
      <c r="Q64" s="32" t="n">
        <v>89.83240000000001</v>
      </c>
      <c r="R64" s="31">
        <f>FALSE()</f>
        <v/>
      </c>
      <c r="S64" s="31">
        <f>FALSE()</f>
        <v/>
      </c>
      <c r="T64" s="31">
        <f>FALSE()</f>
        <v/>
      </c>
      <c r="U64" s="31">
        <f>FALSE()</f>
        <v/>
      </c>
    </row>
    <row r="65" ht="15" customHeight="1" s="22">
      <c r="A65" s="31" t="n">
        <v>2015</v>
      </c>
      <c r="B65" s="31" t="n">
        <v>1</v>
      </c>
      <c r="C65" s="31">
        <f>FALSE()</f>
        <v/>
      </c>
      <c r="D65" s="32" t="n">
        <v>29.5535</v>
      </c>
      <c r="E65" s="32" t="n">
        <v>0.5208</v>
      </c>
      <c r="F65" s="32" t="n">
        <v>23.6348</v>
      </c>
      <c r="G65" s="32" t="n">
        <v>18.1734</v>
      </c>
      <c r="H65" s="32" t="n">
        <v>2.0105</v>
      </c>
      <c r="I65" s="32" t="n">
        <v>7.1609</v>
      </c>
      <c r="J65" s="32" t="n">
        <v>4.6753</v>
      </c>
      <c r="K65" s="32" t="n">
        <v>0.0005999999999999999</v>
      </c>
      <c r="L65" s="32" t="n">
        <v>0.9375</v>
      </c>
      <c r="M65" s="32" t="n">
        <v>6.9598</v>
      </c>
      <c r="N65" s="32" t="n">
        <v>1.1996</v>
      </c>
      <c r="O65" s="32" t="n">
        <v>0.7227</v>
      </c>
      <c r="P65" s="32" t="inlineStr">
        <is>
          <t>[x]</t>
        </is>
      </c>
      <c r="Q65" s="32" t="n">
        <v>95.5492</v>
      </c>
      <c r="R65" s="31">
        <f>FALSE()</f>
        <v/>
      </c>
      <c r="S65" s="31">
        <f>FALSE()</f>
        <v/>
      </c>
      <c r="T65" s="31">
        <f>FALSE()</f>
        <v/>
      </c>
      <c r="U65" s="31">
        <f>FALSE()</f>
        <v/>
      </c>
    </row>
    <row r="66" ht="15" customHeight="1" s="22">
      <c r="A66" s="31" t="n">
        <v>2015</v>
      </c>
      <c r="B66" s="31" t="n">
        <v>2</v>
      </c>
      <c r="C66" s="31">
        <f>FALSE()</f>
        <v/>
      </c>
      <c r="D66" s="32" t="n">
        <v>16.0144</v>
      </c>
      <c r="E66" s="32" t="n">
        <v>0.4233</v>
      </c>
      <c r="F66" s="32" t="n">
        <v>23.4781</v>
      </c>
      <c r="G66" s="32" t="n">
        <v>16.9193</v>
      </c>
      <c r="H66" s="32" t="n">
        <v>1.4253</v>
      </c>
      <c r="I66" s="32" t="n">
        <v>4.7574</v>
      </c>
      <c r="J66" s="32" t="n">
        <v>3.5776</v>
      </c>
      <c r="K66" s="32" t="n">
        <v>0.0005</v>
      </c>
      <c r="L66" s="32" t="n">
        <v>3.1043</v>
      </c>
      <c r="M66" s="32" t="n">
        <v>7.018</v>
      </c>
      <c r="N66" s="32" t="n">
        <v>1.1577</v>
      </c>
      <c r="O66" s="32" t="n">
        <v>0.6498</v>
      </c>
      <c r="P66" s="32" t="inlineStr">
        <is>
          <t>[x]</t>
        </is>
      </c>
      <c r="Q66" s="32" t="n">
        <v>78.5256</v>
      </c>
      <c r="R66" s="31">
        <f>FALSE()</f>
        <v/>
      </c>
      <c r="S66" s="31">
        <f>FALSE()</f>
        <v/>
      </c>
      <c r="T66" s="31">
        <f>FALSE()</f>
        <v/>
      </c>
      <c r="U66" s="31">
        <f>FALSE()</f>
        <v/>
      </c>
    </row>
    <row r="67" ht="15" customHeight="1" s="22">
      <c r="A67" s="31" t="n">
        <v>2015</v>
      </c>
      <c r="B67" s="31" t="n">
        <v>3</v>
      </c>
      <c r="C67" s="31">
        <f>FALSE()</f>
        <v/>
      </c>
      <c r="D67" s="32" t="n">
        <v>12.8294</v>
      </c>
      <c r="E67" s="32" t="n">
        <v>0.5437</v>
      </c>
      <c r="F67" s="32" t="n">
        <v>26.5625</v>
      </c>
      <c r="G67" s="32" t="n">
        <v>16.562</v>
      </c>
      <c r="H67" s="32" t="n">
        <v>1.0284</v>
      </c>
      <c r="I67" s="32" t="n">
        <v>3.809</v>
      </c>
      <c r="J67" s="32" t="n">
        <v>3.4123</v>
      </c>
      <c r="K67" s="32" t="n">
        <v>0.0005</v>
      </c>
      <c r="L67" s="32" t="n">
        <v>2.6952</v>
      </c>
      <c r="M67" s="32" t="n">
        <v>7.0594</v>
      </c>
      <c r="N67" s="32" t="n">
        <v>1.1687</v>
      </c>
      <c r="O67" s="32" t="n">
        <v>0.6533</v>
      </c>
      <c r="P67" s="32" t="inlineStr">
        <is>
          <t>[x]</t>
        </is>
      </c>
      <c r="Q67" s="32" t="n">
        <v>76.32429999999999</v>
      </c>
      <c r="R67" s="31">
        <f>FALSE()</f>
        <v/>
      </c>
      <c r="S67" s="31">
        <f>FALSE()</f>
        <v/>
      </c>
      <c r="T67" s="31">
        <f>FALSE()</f>
        <v/>
      </c>
      <c r="U67" s="31">
        <f>FALSE()</f>
        <v/>
      </c>
    </row>
    <row r="68" ht="15" customHeight="1" s="22">
      <c r="A68" s="31" t="n">
        <v>2015</v>
      </c>
      <c r="B68" s="31" t="n">
        <v>4</v>
      </c>
      <c r="C68" s="31">
        <f>FALSE()</f>
        <v/>
      </c>
      <c r="D68" s="32" t="n">
        <v>17.481</v>
      </c>
      <c r="E68" s="32" t="n">
        <v>0.5494</v>
      </c>
      <c r="F68" s="32" t="n">
        <v>26.2001</v>
      </c>
      <c r="G68" s="32" t="n">
        <v>18.6902</v>
      </c>
      <c r="H68" s="32" t="n">
        <v>1.833</v>
      </c>
      <c r="I68" s="32" t="n">
        <v>7.1247</v>
      </c>
      <c r="J68" s="32" t="n">
        <v>5.7576</v>
      </c>
      <c r="K68" s="32" t="n">
        <v>0.0005</v>
      </c>
      <c r="L68" s="32" t="n">
        <v>0.7958</v>
      </c>
      <c r="M68" s="32" t="n">
        <v>8.219799999999999</v>
      </c>
      <c r="N68" s="32" t="n">
        <v>1.1104</v>
      </c>
      <c r="O68" s="32" t="n">
        <v>0.7137</v>
      </c>
      <c r="P68" s="32" t="inlineStr">
        <is>
          <t>[x]</t>
        </is>
      </c>
      <c r="Q68" s="32" t="n">
        <v>88.4761</v>
      </c>
      <c r="R68" s="31">
        <f>FALSE()</f>
        <v/>
      </c>
      <c r="S68" s="31">
        <f>FALSE()</f>
        <v/>
      </c>
      <c r="T68" s="31">
        <f>FALSE()</f>
        <v/>
      </c>
      <c r="U68" s="31">
        <f>FALSE()</f>
        <v/>
      </c>
    </row>
    <row r="69" ht="15" customHeight="1" s="22">
      <c r="A69" s="31" t="n">
        <v>2016</v>
      </c>
      <c r="B69" s="31" t="n">
        <v>1</v>
      </c>
      <c r="C69" s="31">
        <f>FALSE()</f>
        <v/>
      </c>
      <c r="D69" s="32" t="n">
        <v>14.6905</v>
      </c>
      <c r="E69" s="32" t="n">
        <v>0.337</v>
      </c>
      <c r="F69" s="32" t="n">
        <v>34.0972</v>
      </c>
      <c r="G69" s="32" t="n">
        <v>17.3382</v>
      </c>
      <c r="H69" s="32" t="n">
        <v>2.0816</v>
      </c>
      <c r="I69" s="32" t="n">
        <v>6.3243</v>
      </c>
      <c r="J69" s="32" t="n">
        <v>5.1483</v>
      </c>
      <c r="K69" s="32" t="n">
        <v>0</v>
      </c>
      <c r="L69" s="32" t="n">
        <v>1.4572</v>
      </c>
      <c r="M69" s="32" t="n">
        <v>8.5283</v>
      </c>
      <c r="N69" s="32" t="n">
        <v>1.4005</v>
      </c>
      <c r="O69" s="32" t="n">
        <v>0.7625</v>
      </c>
      <c r="P69" s="32" t="inlineStr">
        <is>
          <t>[x]</t>
        </is>
      </c>
      <c r="Q69" s="32" t="n">
        <v>92.16549999999999</v>
      </c>
      <c r="R69" s="31">
        <f>FALSE()</f>
        <v/>
      </c>
      <c r="S69" s="31">
        <f>FALSE()</f>
        <v/>
      </c>
      <c r="T69" s="31">
        <f>FALSE()</f>
        <v/>
      </c>
      <c r="U69" s="31">
        <f>FALSE()</f>
        <v/>
      </c>
    </row>
    <row r="70" ht="15" customHeight="1" s="22">
      <c r="A70" s="31" t="n">
        <v>2016</v>
      </c>
      <c r="B70" s="31" t="n">
        <v>2</v>
      </c>
      <c r="C70" s="31">
        <f>FALSE()</f>
        <v/>
      </c>
      <c r="D70" s="32" t="n">
        <v>4.5761</v>
      </c>
      <c r="E70" s="32" t="n">
        <v>0.5607</v>
      </c>
      <c r="F70" s="32" t="n">
        <v>34.4957</v>
      </c>
      <c r="G70" s="32" t="n">
        <v>16.6577</v>
      </c>
      <c r="H70" s="32" t="n">
        <v>0.9326</v>
      </c>
      <c r="I70" s="32" t="n">
        <v>3.9571</v>
      </c>
      <c r="J70" s="32" t="n">
        <v>3.2522</v>
      </c>
      <c r="K70" s="32" t="n">
        <v>0</v>
      </c>
      <c r="L70" s="32" t="n">
        <v>3.8682</v>
      </c>
      <c r="M70" s="32" t="n">
        <v>7.7078</v>
      </c>
      <c r="N70" s="32" t="n">
        <v>1.2954</v>
      </c>
      <c r="O70" s="32" t="n">
        <v>0.6888</v>
      </c>
      <c r="P70" s="32" t="inlineStr">
        <is>
          <t>[x]</t>
        </is>
      </c>
      <c r="Q70" s="32" t="n">
        <v>77.9923</v>
      </c>
      <c r="R70" s="31">
        <f>FALSE()</f>
        <v/>
      </c>
      <c r="S70" s="31">
        <f>FALSE()</f>
        <v/>
      </c>
      <c r="T70" s="31">
        <f>FALSE()</f>
        <v/>
      </c>
      <c r="U70" s="31">
        <f>FALSE()</f>
        <v/>
      </c>
    </row>
    <row r="71" ht="15" customHeight="1" s="22">
      <c r="A71" s="31" t="n">
        <v>2016</v>
      </c>
      <c r="B71" s="31" t="n">
        <v>3</v>
      </c>
      <c r="C71" s="31">
        <f>FALSE()</f>
        <v/>
      </c>
      <c r="D71" s="32" t="n">
        <v>2.7121</v>
      </c>
      <c r="E71" s="32" t="n">
        <v>0.455</v>
      </c>
      <c r="F71" s="32" t="n">
        <v>32.668</v>
      </c>
      <c r="G71" s="32" t="n">
        <v>18.858</v>
      </c>
      <c r="H71" s="32" t="n">
        <v>1.148</v>
      </c>
      <c r="I71" s="32" t="n">
        <v>4.5993</v>
      </c>
      <c r="J71" s="32" t="n">
        <v>3.5819</v>
      </c>
      <c r="K71" s="32" t="n">
        <v>0</v>
      </c>
      <c r="L71" s="32" t="n">
        <v>3.7392</v>
      </c>
      <c r="M71" s="32" t="n">
        <v>6.2226</v>
      </c>
      <c r="N71" s="32" t="n">
        <v>1.344</v>
      </c>
      <c r="O71" s="32" t="n">
        <v>0.6928</v>
      </c>
      <c r="P71" s="32" t="inlineStr">
        <is>
          <t>[x]</t>
        </is>
      </c>
      <c r="Q71" s="32" t="n">
        <v>76.02079999999999</v>
      </c>
      <c r="R71" s="31">
        <f>FALSE()</f>
        <v/>
      </c>
      <c r="S71" s="31">
        <f>FALSE()</f>
        <v/>
      </c>
      <c r="T71" s="31">
        <f>FALSE()</f>
        <v/>
      </c>
      <c r="U71" s="31">
        <f>FALSE()</f>
        <v/>
      </c>
    </row>
    <row r="72" ht="15" customHeight="1" s="22">
      <c r="A72" s="31" t="n">
        <v>2016</v>
      </c>
      <c r="B72" s="31" t="n">
        <v>4</v>
      </c>
      <c r="C72" s="31">
        <f>FALSE()</f>
        <v/>
      </c>
      <c r="D72" s="32" t="n">
        <v>8.6899</v>
      </c>
      <c r="E72" s="32" t="n">
        <v>0.5376</v>
      </c>
      <c r="F72" s="32" t="n">
        <v>42.0952</v>
      </c>
      <c r="G72" s="32" t="n">
        <v>18.8722</v>
      </c>
      <c r="H72" s="32" t="n">
        <v>1.2083</v>
      </c>
      <c r="I72" s="32" t="n">
        <v>5.873</v>
      </c>
      <c r="J72" s="32" t="n">
        <v>4.4234</v>
      </c>
      <c r="K72" s="32" t="n">
        <v>0</v>
      </c>
      <c r="L72" s="32" t="n">
        <v>1.3305</v>
      </c>
      <c r="M72" s="32" t="n">
        <v>7.6069</v>
      </c>
      <c r="N72" s="32" t="n">
        <v>1.5336</v>
      </c>
      <c r="O72" s="32" t="n">
        <v>0.8152</v>
      </c>
      <c r="P72" s="32" t="inlineStr">
        <is>
          <t>[x]</t>
        </is>
      </c>
      <c r="Q72" s="32" t="n">
        <v>92.98560000000001</v>
      </c>
      <c r="R72" s="31">
        <f>FALSE()</f>
        <v/>
      </c>
      <c r="S72" s="31">
        <f>FALSE()</f>
        <v/>
      </c>
      <c r="T72" s="31">
        <f>FALSE()</f>
        <v/>
      </c>
      <c r="U72" s="31">
        <f>FALSE()</f>
        <v/>
      </c>
    </row>
    <row r="73" ht="15" customHeight="1" s="22">
      <c r="A73" s="31" t="n">
        <v>2017</v>
      </c>
      <c r="B73" s="31" t="n">
        <v>1</v>
      </c>
      <c r="C73" s="31">
        <f>FALSE()</f>
        <v/>
      </c>
      <c r="D73" s="32" t="n">
        <v>10.4297</v>
      </c>
      <c r="E73" s="32" t="n">
        <v>0.372</v>
      </c>
      <c r="F73" s="32" t="n">
        <v>37.8503</v>
      </c>
      <c r="G73" s="32" t="n">
        <v>17.6441</v>
      </c>
      <c r="H73" s="32" t="n">
        <v>1.7984</v>
      </c>
      <c r="I73" s="32" t="n">
        <v>5.1653</v>
      </c>
      <c r="J73" s="32" t="n">
        <v>2.6437</v>
      </c>
      <c r="K73" s="32" t="n">
        <v>0.0003</v>
      </c>
      <c r="L73" s="32" t="n">
        <v>1.1882</v>
      </c>
      <c r="M73" s="32" t="n">
        <v>8.9658</v>
      </c>
      <c r="N73" s="32" t="n">
        <v>1.285</v>
      </c>
      <c r="O73" s="32" t="n">
        <v>0.7913</v>
      </c>
      <c r="P73" s="32" t="n">
        <v>0</v>
      </c>
      <c r="Q73" s="32" t="n">
        <v>93.2325</v>
      </c>
      <c r="R73" s="31">
        <f>FALSE()</f>
        <v/>
      </c>
      <c r="S73" s="31">
        <f>FALSE()</f>
        <v/>
      </c>
      <c r="T73" s="31">
        <f>FALSE()</f>
        <v/>
      </c>
      <c r="U73" s="31">
        <f>FALSE()</f>
        <v/>
      </c>
    </row>
    <row r="74" ht="15" customHeight="1" s="22">
      <c r="A74" s="31" t="n">
        <v>2017</v>
      </c>
      <c r="B74" s="31" t="n">
        <v>2</v>
      </c>
      <c r="C74" s="31">
        <f>FALSE()</f>
        <v/>
      </c>
      <c r="D74" s="32" t="n">
        <v>1.5393</v>
      </c>
      <c r="E74" s="32" t="n">
        <v>0.3585</v>
      </c>
      <c r="F74" s="32" t="n">
        <v>31.7795</v>
      </c>
      <c r="G74" s="32" t="n">
        <v>17.8324</v>
      </c>
      <c r="H74" s="32" t="n">
        <v>0.8639</v>
      </c>
      <c r="I74" s="32" t="n">
        <v>3.8616</v>
      </c>
      <c r="J74" s="32" t="n">
        <v>1.9941</v>
      </c>
      <c r="K74" s="32" t="n">
        <v>0.0001</v>
      </c>
      <c r="L74" s="32" t="n">
        <v>3.3979</v>
      </c>
      <c r="M74" s="32" t="n">
        <v>7.8263</v>
      </c>
      <c r="N74" s="32" t="n">
        <v>1.2989</v>
      </c>
      <c r="O74" s="32" t="n">
        <v>0.6935</v>
      </c>
      <c r="P74" s="32" t="n">
        <v>0</v>
      </c>
      <c r="Q74" s="32" t="n">
        <v>75.7679</v>
      </c>
      <c r="R74" s="31">
        <f>FALSE()</f>
        <v/>
      </c>
      <c r="S74" s="31">
        <f>FALSE()</f>
        <v/>
      </c>
      <c r="T74" s="31">
        <f>FALSE()</f>
        <v/>
      </c>
      <c r="U74" s="31">
        <f>FALSE()</f>
        <v/>
      </c>
    </row>
    <row r="75" ht="15" customHeight="1" s="22">
      <c r="A75" s="31" t="n">
        <v>2017</v>
      </c>
      <c r="B75" s="31" t="n">
        <v>3</v>
      </c>
      <c r="C75" s="31">
        <f>FALSE()</f>
        <v/>
      </c>
      <c r="D75" s="32" t="n">
        <v>2.1612</v>
      </c>
      <c r="E75" s="32" t="n">
        <v>0.4586</v>
      </c>
      <c r="F75" s="32" t="n">
        <v>30.1398</v>
      </c>
      <c r="G75" s="32" t="n">
        <v>18.172</v>
      </c>
      <c r="H75" s="32" t="n">
        <v>1.2638</v>
      </c>
      <c r="I75" s="32" t="n">
        <v>6.3762</v>
      </c>
      <c r="J75" s="32" t="n">
        <v>4.0418</v>
      </c>
      <c r="K75" s="32" t="n">
        <v>0.0024</v>
      </c>
      <c r="L75" s="32" t="n">
        <v>2.927</v>
      </c>
      <c r="M75" s="32" t="n">
        <v>7.7654</v>
      </c>
      <c r="N75" s="32" t="n">
        <v>1.2994</v>
      </c>
      <c r="O75" s="32" t="n">
        <v>0.6364</v>
      </c>
      <c r="P75" s="32" t="n">
        <v>0</v>
      </c>
      <c r="Q75" s="32" t="n">
        <v>74.4151</v>
      </c>
      <c r="R75" s="31">
        <f>FALSE()</f>
        <v/>
      </c>
      <c r="S75" s="31">
        <f>FALSE()</f>
        <v/>
      </c>
      <c r="T75" s="31">
        <f>FALSE()</f>
        <v/>
      </c>
      <c r="U75" s="31">
        <f>FALSE()</f>
        <v/>
      </c>
    </row>
    <row r="76" ht="15" customHeight="1" s="22">
      <c r="A76" s="31" t="n">
        <v>2017</v>
      </c>
      <c r="B76" s="31" t="n">
        <v>4</v>
      </c>
      <c r="C76" s="31">
        <f>FALSE()</f>
        <v/>
      </c>
      <c r="D76" s="32" t="n">
        <v>8.4002</v>
      </c>
      <c r="E76" s="32" t="n">
        <v>0.4254</v>
      </c>
      <c r="F76" s="32" t="n">
        <v>36.9763</v>
      </c>
      <c r="G76" s="32" t="n">
        <v>16.6878</v>
      </c>
      <c r="H76" s="32" t="n">
        <v>1.9557</v>
      </c>
      <c r="I76" s="32" t="n">
        <v>7.633</v>
      </c>
      <c r="J76" s="32" t="n">
        <v>4.3942</v>
      </c>
      <c r="K76" s="32" t="n">
        <v>0.0013</v>
      </c>
      <c r="L76" s="32" t="n">
        <v>0.9664</v>
      </c>
      <c r="M76" s="32" t="n">
        <v>7.3368</v>
      </c>
      <c r="N76" s="32" t="n">
        <v>1.3362</v>
      </c>
      <c r="O76" s="32" t="n">
        <v>0.7509</v>
      </c>
      <c r="P76" s="32" t="n">
        <v>0.0005</v>
      </c>
      <c r="Q76" s="32" t="n">
        <v>91.8044</v>
      </c>
      <c r="R76" s="31">
        <f>FALSE()</f>
        <v/>
      </c>
      <c r="S76" s="31">
        <f>FALSE()</f>
        <v/>
      </c>
      <c r="T76" s="31">
        <f>FALSE()</f>
        <v/>
      </c>
      <c r="U76" s="31">
        <f>FALSE()</f>
        <v/>
      </c>
    </row>
    <row r="77" ht="15" customHeight="1" s="22">
      <c r="A77" s="31" t="n">
        <v>2018</v>
      </c>
      <c r="B77" s="31" t="n">
        <v>1</v>
      </c>
      <c r="C77" s="31">
        <f>FALSE()</f>
        <v/>
      </c>
      <c r="D77" s="32" t="n">
        <v>8.7119</v>
      </c>
      <c r="E77" s="32" t="n">
        <v>0.4875</v>
      </c>
      <c r="F77" s="32" t="n">
        <v>36.9017</v>
      </c>
      <c r="G77" s="32" t="n">
        <v>16.6444</v>
      </c>
      <c r="H77" s="32" t="n">
        <v>1.5645</v>
      </c>
      <c r="I77" s="32" t="n">
        <v>9.561400000000001</v>
      </c>
      <c r="J77" s="32" t="n">
        <v>7.927</v>
      </c>
      <c r="K77" s="32" t="n">
        <v>0.0031</v>
      </c>
      <c r="L77" s="32" t="n">
        <v>1.7931</v>
      </c>
      <c r="M77" s="32" t="n">
        <v>7.7762</v>
      </c>
      <c r="N77" s="32" t="n">
        <v>1.6</v>
      </c>
      <c r="O77" s="32" t="n">
        <v>0.7456</v>
      </c>
      <c r="P77" s="32" t="n">
        <v>0.0035</v>
      </c>
      <c r="Q77" s="32" t="n">
        <v>93.7199</v>
      </c>
      <c r="R77" s="31">
        <f>FALSE()</f>
        <v/>
      </c>
      <c r="S77" s="31">
        <f>FALSE()</f>
        <v/>
      </c>
      <c r="T77" s="31">
        <f>FALSE()</f>
        <v/>
      </c>
      <c r="U77" s="31">
        <f>FALSE()</f>
        <v/>
      </c>
    </row>
    <row r="78" ht="15" customHeight="1" s="22">
      <c r="A78" s="31" t="n">
        <v>2018</v>
      </c>
      <c r="B78" s="31" t="n">
        <v>2</v>
      </c>
      <c r="C78" s="31">
        <f>FALSE()</f>
        <v/>
      </c>
      <c r="D78" s="32" t="n">
        <v>1.2096</v>
      </c>
      <c r="E78" s="32" t="n">
        <v>0.292</v>
      </c>
      <c r="F78" s="32" t="n">
        <v>32.1163</v>
      </c>
      <c r="G78" s="32" t="n">
        <v>16.6295</v>
      </c>
      <c r="H78" s="32" t="n">
        <v>0.9536</v>
      </c>
      <c r="I78" s="32" t="n">
        <v>5.4366</v>
      </c>
      <c r="J78" s="32" t="n">
        <v>4.727</v>
      </c>
      <c r="K78" s="32" t="n">
        <v>0.0031</v>
      </c>
      <c r="L78" s="32" t="n">
        <v>4.9094</v>
      </c>
      <c r="M78" s="32" t="n">
        <v>8.669600000000001</v>
      </c>
      <c r="N78" s="32" t="n">
        <v>1.5394</v>
      </c>
      <c r="O78" s="32" t="n">
        <v>0.6576</v>
      </c>
      <c r="P78" s="32" t="n">
        <v>0.0065</v>
      </c>
      <c r="Q78" s="32" t="n">
        <v>77.1502</v>
      </c>
      <c r="R78" s="31">
        <f>FALSE()</f>
        <v/>
      </c>
      <c r="S78" s="31">
        <f>FALSE()</f>
        <v/>
      </c>
      <c r="T78" s="31">
        <f>FALSE()</f>
        <v/>
      </c>
      <c r="U78" s="31">
        <f>FALSE()</f>
        <v/>
      </c>
    </row>
    <row r="79" ht="15" customHeight="1" s="22">
      <c r="A79" s="31" t="n">
        <v>2018</v>
      </c>
      <c r="B79" s="31" t="n">
        <v>3</v>
      </c>
      <c r="C79" s="31">
        <f>FALSE()</f>
        <v/>
      </c>
      <c r="D79" s="32" t="n">
        <v>1.854</v>
      </c>
      <c r="E79" s="32" t="n">
        <v>0.323</v>
      </c>
      <c r="F79" s="32" t="n">
        <v>29.0572</v>
      </c>
      <c r="G79" s="32" t="n">
        <v>17.2475</v>
      </c>
      <c r="H79" s="32" t="n">
        <v>0.8909</v>
      </c>
      <c r="I79" s="32" t="n">
        <v>5.547</v>
      </c>
      <c r="J79" s="32" t="n">
        <v>5.018</v>
      </c>
      <c r="K79" s="32" t="n">
        <v>0.0011</v>
      </c>
      <c r="L79" s="32" t="n">
        <v>4.481</v>
      </c>
      <c r="M79" s="32" t="n">
        <v>8.8261</v>
      </c>
      <c r="N79" s="32" t="n">
        <v>1.4926</v>
      </c>
      <c r="O79" s="32" t="n">
        <v>0.5306999999999999</v>
      </c>
      <c r="P79" s="32" t="n">
        <v>0.011</v>
      </c>
      <c r="Q79" s="32" t="n">
        <v>75.2801</v>
      </c>
      <c r="R79" s="31">
        <f>FALSE()</f>
        <v/>
      </c>
      <c r="S79" s="31">
        <f>FALSE()</f>
        <v/>
      </c>
      <c r="T79" s="31">
        <f>FALSE()</f>
        <v/>
      </c>
      <c r="U79" s="31">
        <f>FALSE()</f>
        <v/>
      </c>
    </row>
    <row r="80" ht="15" customHeight="1" s="22">
      <c r="A80" s="31" t="n">
        <v>2018</v>
      </c>
      <c r="B80" s="31" t="n">
        <v>4</v>
      </c>
      <c r="C80" s="31">
        <f>FALSE()</f>
        <v/>
      </c>
      <c r="D80" s="32" t="n">
        <v>5.056</v>
      </c>
      <c r="E80" s="32" t="n">
        <v>0.4707</v>
      </c>
      <c r="F80" s="32" t="n">
        <v>33.4145</v>
      </c>
      <c r="G80" s="32" t="n">
        <v>14.5424</v>
      </c>
      <c r="H80" s="32" t="n">
        <v>2.0343</v>
      </c>
      <c r="I80" s="32" t="n">
        <v>9.8375</v>
      </c>
      <c r="J80" s="32" t="n">
        <v>8.853199999999999</v>
      </c>
      <c r="K80" s="32" t="n">
        <v>0.0019</v>
      </c>
      <c r="L80" s="32" t="n">
        <v>1.4849</v>
      </c>
      <c r="M80" s="32" t="n">
        <v>9.829800000000001</v>
      </c>
      <c r="N80" s="32" t="n">
        <v>1.4974</v>
      </c>
      <c r="O80" s="32" t="n">
        <v>0.5645</v>
      </c>
      <c r="P80" s="32" t="n">
        <v>0.0149</v>
      </c>
      <c r="Q80" s="32" t="n">
        <v>87.6019</v>
      </c>
      <c r="R80" s="31">
        <f>FALSE()</f>
        <v/>
      </c>
      <c r="S80" s="31">
        <f>FALSE()</f>
        <v/>
      </c>
      <c r="T80" s="31">
        <f>FALSE()</f>
        <v/>
      </c>
      <c r="U80" s="31">
        <f>FALSE()</f>
        <v/>
      </c>
    </row>
    <row r="81" ht="15" customHeight="1" s="22">
      <c r="A81" s="31" t="n">
        <v>2019</v>
      </c>
      <c r="B81" s="31" t="n">
        <v>1</v>
      </c>
      <c r="C81" s="31">
        <f>FALSE()</f>
        <v/>
      </c>
      <c r="D81" s="32" t="n">
        <v>3.0555</v>
      </c>
      <c r="E81" s="32" t="n">
        <v>0.5844</v>
      </c>
      <c r="F81" s="32" t="n">
        <v>36.8988</v>
      </c>
      <c r="G81" s="32" t="n">
        <v>13.9059</v>
      </c>
      <c r="H81" s="32" t="n">
        <v>1.8913</v>
      </c>
      <c r="I81" s="32" t="n">
        <v>9.8363</v>
      </c>
      <c r="J81" s="32" t="n">
        <v>8.6</v>
      </c>
      <c r="K81" s="32" t="n">
        <v>0.0032</v>
      </c>
      <c r="L81" s="32" t="n">
        <v>1.9178</v>
      </c>
      <c r="M81" s="32" t="n">
        <v>8.975099999999999</v>
      </c>
      <c r="N81" s="32" t="n">
        <v>1.8988</v>
      </c>
      <c r="O81" s="32" t="n">
        <v>0.5635</v>
      </c>
      <c r="P81" s="32" t="n">
        <v>0.0186</v>
      </c>
      <c r="Q81" s="32" t="n">
        <v>88.14919999999999</v>
      </c>
      <c r="R81" s="31">
        <f>FALSE()</f>
        <v/>
      </c>
      <c r="S81" s="31">
        <f>FALSE()</f>
        <v/>
      </c>
      <c r="T81" s="31">
        <f>FALSE()</f>
        <v/>
      </c>
      <c r="U81" s="31">
        <f>FALSE()</f>
        <v/>
      </c>
    </row>
    <row r="82" ht="15" customHeight="1" s="22">
      <c r="A82" s="31" t="n">
        <v>2019</v>
      </c>
      <c r="B82" s="31" t="n">
        <v>2</v>
      </c>
      <c r="C82" s="31">
        <f>FALSE()</f>
        <v/>
      </c>
      <c r="D82" s="32" t="n">
        <v>0.4624</v>
      </c>
      <c r="E82" s="32" t="n">
        <v>0.5746</v>
      </c>
      <c r="F82" s="32" t="n">
        <v>33.4341</v>
      </c>
      <c r="G82" s="32" t="n">
        <v>13.0668</v>
      </c>
      <c r="H82" s="32" t="n">
        <v>0.8318</v>
      </c>
      <c r="I82" s="32" t="n">
        <v>6.0517</v>
      </c>
      <c r="J82" s="32" t="n">
        <v>5.9362</v>
      </c>
      <c r="K82" s="32" t="n">
        <v>0.0039</v>
      </c>
      <c r="L82" s="32" t="n">
        <v>4.6208</v>
      </c>
      <c r="M82" s="32" t="n">
        <v>9.1203</v>
      </c>
      <c r="N82" s="32" t="n">
        <v>1.8081</v>
      </c>
      <c r="O82" s="32" t="n">
        <v>0.3385</v>
      </c>
      <c r="P82" s="32" t="n">
        <v>0.0175</v>
      </c>
      <c r="Q82" s="32" t="n">
        <v>76.2666</v>
      </c>
      <c r="R82" s="31">
        <f>FALSE()</f>
        <v/>
      </c>
      <c r="S82" s="31">
        <f>FALSE()</f>
        <v/>
      </c>
      <c r="T82" s="31">
        <f>FALSE()</f>
        <v/>
      </c>
      <c r="U82" s="31">
        <f>FALSE()</f>
        <v/>
      </c>
    </row>
    <row r="83" ht="15" customHeight="1" s="22">
      <c r="A83" s="31" t="n">
        <v>2019</v>
      </c>
      <c r="B83" s="31" t="n">
        <v>3</v>
      </c>
      <c r="C83" s="31">
        <f>FALSE()</f>
        <v/>
      </c>
      <c r="D83" s="32" t="n">
        <v>0.7323</v>
      </c>
      <c r="E83" s="32" t="n">
        <v>0.4704</v>
      </c>
      <c r="F83" s="32" t="n">
        <v>28.867</v>
      </c>
      <c r="G83" s="32" t="n">
        <v>13.5927</v>
      </c>
      <c r="H83" s="32" t="n">
        <v>1.4061</v>
      </c>
      <c r="I83" s="32" t="n">
        <v>6.7959</v>
      </c>
      <c r="J83" s="32" t="n">
        <v>7.1883</v>
      </c>
      <c r="K83" s="32" t="n">
        <v>0.004</v>
      </c>
      <c r="L83" s="32" t="n">
        <v>4.4883</v>
      </c>
      <c r="M83" s="32" t="n">
        <v>9.087</v>
      </c>
      <c r="N83" s="32" t="n">
        <v>1.8016</v>
      </c>
      <c r="O83" s="32" t="n">
        <v>0.3709</v>
      </c>
      <c r="P83" s="32" t="n">
        <v>0.0189</v>
      </c>
      <c r="Q83" s="32" t="n">
        <v>74.82340000000001</v>
      </c>
      <c r="R83" s="31">
        <f>FALSE()</f>
        <v/>
      </c>
      <c r="S83" s="31">
        <f>FALSE()</f>
        <v/>
      </c>
      <c r="T83" s="31">
        <f>FALSE()</f>
        <v/>
      </c>
      <c r="U83" s="31">
        <f>FALSE()</f>
        <v/>
      </c>
    </row>
    <row r="84" ht="15" customHeight="1" s="22">
      <c r="A84" s="31" t="n">
        <v>2019</v>
      </c>
      <c r="B84" s="31" t="n">
        <v>4</v>
      </c>
      <c r="C84" s="31">
        <f>FALSE()</f>
        <v/>
      </c>
      <c r="D84" s="32" t="n">
        <v>2.665</v>
      </c>
      <c r="E84" s="32" t="n">
        <v>0.3584</v>
      </c>
      <c r="F84" s="32" t="n">
        <v>33.8887</v>
      </c>
      <c r="G84" s="32" t="n">
        <v>15.6186</v>
      </c>
      <c r="H84" s="32" t="n">
        <v>1.8037</v>
      </c>
      <c r="I84" s="32" t="n">
        <v>9.1759</v>
      </c>
      <c r="J84" s="32" t="n">
        <v>10.2507</v>
      </c>
      <c r="K84" s="32" t="n">
        <v>0.0029</v>
      </c>
      <c r="L84" s="32" t="n">
        <v>1.3912</v>
      </c>
      <c r="M84" s="32" t="n">
        <v>10.3438</v>
      </c>
      <c r="N84" s="32" t="n">
        <v>1.925</v>
      </c>
      <c r="O84" s="32" t="n">
        <v>0.4835</v>
      </c>
      <c r="P84" s="32" t="n">
        <v>0.0269</v>
      </c>
      <c r="Q84" s="32" t="n">
        <v>87.93429999999999</v>
      </c>
      <c r="R84" s="31">
        <f>FALSE()</f>
        <v/>
      </c>
      <c r="S84" s="31">
        <f>FALSE()</f>
        <v/>
      </c>
      <c r="T84" s="31">
        <f>FALSE()</f>
        <v/>
      </c>
      <c r="U84" s="31">
        <f>FALSE()</f>
        <v/>
      </c>
    </row>
    <row r="85" ht="15" customHeight="1" s="22">
      <c r="A85" s="31" t="n">
        <v>2020</v>
      </c>
      <c r="B85" s="31" t="n">
        <v>1</v>
      </c>
      <c r="C85" s="31">
        <f>FALSE()</f>
        <v/>
      </c>
      <c r="D85" s="32" t="n">
        <v>3.3348</v>
      </c>
      <c r="E85" s="32" t="n">
        <v>0.334</v>
      </c>
      <c r="F85" s="32" t="n">
        <v>27.1733</v>
      </c>
      <c r="G85" s="32" t="n">
        <v>13.0224</v>
      </c>
      <c r="H85" s="32" t="n">
        <v>2.4767</v>
      </c>
      <c r="I85" s="32" t="n">
        <v>12.9871</v>
      </c>
      <c r="J85" s="32" t="n">
        <v>13.3747</v>
      </c>
      <c r="K85" s="32" t="n">
        <v>0.0029</v>
      </c>
      <c r="L85" s="32" t="n">
        <v>1.8971</v>
      </c>
      <c r="M85" s="32" t="n">
        <v>10.1188</v>
      </c>
      <c r="N85" s="32" t="n">
        <v>1.5738</v>
      </c>
      <c r="O85" s="32" t="n">
        <v>0.4257</v>
      </c>
      <c r="P85" s="32" t="n">
        <v>0.0279</v>
      </c>
      <c r="Q85" s="32" t="n">
        <v>86.7491</v>
      </c>
      <c r="R85" s="31">
        <f>FALSE()</f>
        <v/>
      </c>
      <c r="S85" s="31">
        <f>FALSE()</f>
        <v/>
      </c>
      <c r="T85" s="31">
        <f>FALSE()</f>
        <v/>
      </c>
      <c r="U85" s="31">
        <f>FALSE()</f>
        <v/>
      </c>
    </row>
    <row r="86" ht="15" customHeight="1" s="22">
      <c r="A86" s="31" t="n">
        <v>2020</v>
      </c>
      <c r="B86" s="31" t="n">
        <v>2</v>
      </c>
      <c r="C86" s="31">
        <f>FALSE()</f>
        <v/>
      </c>
      <c r="D86" s="32" t="n">
        <v>0.4207</v>
      </c>
      <c r="E86" s="32" t="n">
        <v>0.2278</v>
      </c>
      <c r="F86" s="32" t="n">
        <v>23.255</v>
      </c>
      <c r="G86" s="32" t="n">
        <v>11.9003</v>
      </c>
      <c r="H86" s="32" t="n">
        <v>1.0118</v>
      </c>
      <c r="I86" s="32" t="n">
        <v>6.1196</v>
      </c>
      <c r="J86" s="32" t="n">
        <v>7.3113</v>
      </c>
      <c r="K86" s="32" t="n">
        <v>0.0031</v>
      </c>
      <c r="L86" s="32" t="n">
        <v>5.1888</v>
      </c>
      <c r="M86" s="32" t="n">
        <v>9.698</v>
      </c>
      <c r="N86" s="32" t="n">
        <v>1.5397</v>
      </c>
      <c r="O86" s="32" t="n">
        <v>0.2859</v>
      </c>
      <c r="P86" s="32" t="n">
        <v>0.0301</v>
      </c>
      <c r="Q86" s="32" t="n">
        <v>66.9922</v>
      </c>
      <c r="R86" s="31">
        <f>FALSE()</f>
        <v/>
      </c>
      <c r="S86" s="31">
        <f>FALSE()</f>
        <v/>
      </c>
      <c r="T86" s="31">
        <f>FALSE()</f>
        <v/>
      </c>
      <c r="U86" s="31">
        <f>FALSE()</f>
        <v/>
      </c>
    </row>
    <row r="87" ht="15" customHeight="1" s="22">
      <c r="A87" s="31" t="n">
        <v>2020</v>
      </c>
      <c r="B87" s="31" t="n">
        <v>3</v>
      </c>
      <c r="C87" s="31">
        <f>FALSE()</f>
        <v/>
      </c>
      <c r="D87" s="32" t="n">
        <v>0.5669</v>
      </c>
      <c r="E87" s="32" t="n">
        <v>0.3703</v>
      </c>
      <c r="F87" s="32" t="n">
        <v>30.1509</v>
      </c>
      <c r="G87" s="32" t="n">
        <v>11.0425</v>
      </c>
      <c r="H87" s="32" t="n">
        <v>1.1853</v>
      </c>
      <c r="I87" s="32" t="n">
        <v>6.7069</v>
      </c>
      <c r="J87" s="32" t="n">
        <v>8.0321</v>
      </c>
      <c r="K87" s="32" t="n">
        <v>0.0034</v>
      </c>
      <c r="L87" s="32" t="n">
        <v>4.099</v>
      </c>
      <c r="M87" s="32" t="n">
        <v>9.0014</v>
      </c>
      <c r="N87" s="32" t="n">
        <v>1.4166</v>
      </c>
      <c r="O87" s="32" t="n">
        <v>0.3262</v>
      </c>
      <c r="P87" s="32" t="n">
        <v>0.0304</v>
      </c>
      <c r="Q87" s="32" t="n">
        <v>72.932</v>
      </c>
      <c r="R87" s="31">
        <f>FALSE()</f>
        <v/>
      </c>
      <c r="S87" s="31">
        <f>FALSE()</f>
        <v/>
      </c>
      <c r="T87" s="31">
        <f>FALSE()</f>
        <v/>
      </c>
      <c r="U87" s="31">
        <f>FALSE()</f>
        <v/>
      </c>
    </row>
    <row r="88" ht="15" customHeight="1" s="22">
      <c r="A88" s="31" t="n">
        <v>2020</v>
      </c>
      <c r="B88" s="31" t="n">
        <v>4</v>
      </c>
      <c r="C88" s="31">
        <f>FALSE()</f>
        <v/>
      </c>
      <c r="D88" s="32" t="n">
        <v>1.3771</v>
      </c>
      <c r="E88" s="32" t="n">
        <v>0.499</v>
      </c>
      <c r="F88" s="32" t="n">
        <v>31.3148</v>
      </c>
      <c r="G88" s="32" t="n">
        <v>14.2739</v>
      </c>
      <c r="H88" s="32" t="n">
        <v>2.2044</v>
      </c>
      <c r="I88" s="32" t="n">
        <v>9.0594</v>
      </c>
      <c r="J88" s="32" t="n">
        <v>12.0322</v>
      </c>
      <c r="K88" s="32" t="n">
        <v>0.0018</v>
      </c>
      <c r="L88" s="32" t="n">
        <v>1.362</v>
      </c>
      <c r="M88" s="32" t="n">
        <v>9.747</v>
      </c>
      <c r="N88" s="32" t="n">
        <v>1.1972</v>
      </c>
      <c r="O88" s="32" t="n">
        <v>0.5293</v>
      </c>
      <c r="P88" s="32" t="n">
        <v>0.0247</v>
      </c>
      <c r="Q88" s="32" t="n">
        <v>83.6229</v>
      </c>
      <c r="R88" s="31">
        <f>FALSE()</f>
        <v/>
      </c>
      <c r="S88" s="31">
        <f>FALSE()</f>
        <v/>
      </c>
      <c r="T88" s="31">
        <f>FALSE()</f>
        <v/>
      </c>
      <c r="U88" s="31">
        <f>FALSE()</f>
        <v/>
      </c>
    </row>
    <row r="89" ht="15" customHeight="1" s="22">
      <c r="A89" s="31" t="n">
        <v>2021</v>
      </c>
      <c r="B89" s="31" t="n">
        <v>1</v>
      </c>
      <c r="C89" s="31">
        <f>FALSE()</f>
        <v/>
      </c>
      <c r="D89" s="32" t="n">
        <v>2.4681</v>
      </c>
      <c r="E89" s="32" t="n">
        <v>0.464</v>
      </c>
      <c r="F89" s="32" t="n">
        <v>32.6489</v>
      </c>
      <c r="G89" s="32" t="n">
        <v>11.554</v>
      </c>
      <c r="H89" s="32" t="n">
        <v>1.7729</v>
      </c>
      <c r="I89" s="32" t="n">
        <v>10.016</v>
      </c>
      <c r="J89" s="32" t="n">
        <v>11.2192</v>
      </c>
      <c r="K89" s="32" t="n">
        <v>0.0013</v>
      </c>
      <c r="L89" s="32" t="n">
        <v>1.7339</v>
      </c>
      <c r="M89" s="32" t="n">
        <v>10.3222</v>
      </c>
      <c r="N89" s="32" t="n">
        <v>1.4561</v>
      </c>
      <c r="O89" s="32" t="n">
        <v>0.4848</v>
      </c>
      <c r="P89" s="32" t="n">
        <v>0.0214</v>
      </c>
      <c r="Q89" s="32" t="n">
        <v>84.1627</v>
      </c>
      <c r="R89" s="31">
        <f>FALSE()</f>
        <v/>
      </c>
      <c r="S89" s="31">
        <f>FALSE()</f>
        <v/>
      </c>
      <c r="T89" s="31">
        <f>FALSE()</f>
        <v/>
      </c>
      <c r="U89" s="31">
        <f>FALSE()</f>
        <v/>
      </c>
    </row>
    <row r="90" ht="15" customHeight="1" s="22">
      <c r="A90" s="31" t="n">
        <v>2021</v>
      </c>
      <c r="B90" s="31" t="n">
        <v>2</v>
      </c>
      <c r="C90" s="31">
        <f>FALSE()</f>
        <v/>
      </c>
      <c r="D90" s="32" t="n">
        <v>0.7988</v>
      </c>
      <c r="E90" s="32" t="n">
        <v>0.4624</v>
      </c>
      <c r="F90" s="32" t="n">
        <v>30.9266</v>
      </c>
      <c r="G90" s="32" t="n">
        <v>11.4912</v>
      </c>
      <c r="H90" s="32" t="n">
        <v>1.0012</v>
      </c>
      <c r="I90" s="32" t="n">
        <v>5.3299</v>
      </c>
      <c r="J90" s="32" t="n">
        <v>6.2157</v>
      </c>
      <c r="K90" s="32" t="n">
        <v>0.0012</v>
      </c>
      <c r="L90" s="32" t="n">
        <v>4.848</v>
      </c>
      <c r="M90" s="32" t="n">
        <v>9.7728</v>
      </c>
      <c r="N90" s="32" t="n">
        <v>1.4061</v>
      </c>
      <c r="O90" s="32" t="n">
        <v>0.4301</v>
      </c>
      <c r="P90" s="32" t="n">
        <v>0.0144</v>
      </c>
      <c r="Q90" s="32" t="n">
        <v>72.6986</v>
      </c>
      <c r="R90" s="31">
        <f>FALSE()</f>
        <v/>
      </c>
      <c r="S90" s="31">
        <f>FALSE()</f>
        <v/>
      </c>
      <c r="T90" s="31">
        <f>FALSE()</f>
        <v/>
      </c>
      <c r="U90" s="31">
        <f>FALSE()</f>
        <v/>
      </c>
    </row>
    <row r="91" ht="15" customHeight="1" s="22">
      <c r="A91" s="31" t="n">
        <v>2021</v>
      </c>
      <c r="B91" s="31" t="n">
        <v>3</v>
      </c>
      <c r="C91" s="31">
        <f>FALSE()</f>
        <v/>
      </c>
      <c r="D91" s="32" t="n">
        <v>1.5718</v>
      </c>
      <c r="E91" s="32" t="n">
        <v>0.4796</v>
      </c>
      <c r="F91" s="32" t="n">
        <v>29.2278</v>
      </c>
      <c r="G91" s="32" t="n">
        <v>10.7329</v>
      </c>
      <c r="H91" s="32" t="n">
        <v>0.5644</v>
      </c>
      <c r="I91" s="32" t="n">
        <v>4.0237</v>
      </c>
      <c r="J91" s="32" t="n">
        <v>6.1513</v>
      </c>
      <c r="K91" s="32" t="n">
        <v>0.0013</v>
      </c>
      <c r="L91" s="32" t="n">
        <v>4.0863</v>
      </c>
      <c r="M91" s="32" t="n">
        <v>9.233000000000001</v>
      </c>
      <c r="N91" s="32" t="n">
        <v>1.3658</v>
      </c>
      <c r="O91" s="32" t="n">
        <v>0.4206</v>
      </c>
      <c r="P91" s="32" t="n">
        <v>0.0138</v>
      </c>
      <c r="Q91" s="32" t="n">
        <v>67.8723</v>
      </c>
      <c r="R91" s="31">
        <f>FALSE()</f>
        <v/>
      </c>
      <c r="S91" s="31">
        <f>FALSE()</f>
        <v/>
      </c>
      <c r="T91" s="31">
        <f>FALSE()</f>
        <v/>
      </c>
      <c r="U91" s="31">
        <f>FALSE()</f>
        <v/>
      </c>
    </row>
    <row r="92" ht="15" customHeight="1" s="22">
      <c r="A92" s="31" t="n">
        <v>2021</v>
      </c>
      <c r="B92" s="31" t="n">
        <v>4</v>
      </c>
      <c r="C92" s="31">
        <f>FALSE()</f>
        <v/>
      </c>
      <c r="D92" s="32" t="n">
        <v>1.9466</v>
      </c>
      <c r="E92" s="32" t="n">
        <v>0.5557</v>
      </c>
      <c r="F92" s="32" t="n">
        <v>30.0327</v>
      </c>
      <c r="G92" s="32" t="n">
        <v>12.3258</v>
      </c>
      <c r="H92" s="32" t="n">
        <v>2.0799</v>
      </c>
      <c r="I92" s="32" t="n">
        <v>9.957000000000001</v>
      </c>
      <c r="J92" s="32" t="n">
        <v>12.0111</v>
      </c>
      <c r="K92" s="32" t="n">
        <v>0.0016</v>
      </c>
      <c r="L92" s="32" t="n">
        <v>1.4603</v>
      </c>
      <c r="M92" s="32" t="n">
        <v>10.6731</v>
      </c>
      <c r="N92" s="32" t="n">
        <v>1.5011</v>
      </c>
      <c r="O92" s="32" t="n">
        <v>0.5580000000000001</v>
      </c>
      <c r="P92" s="32" t="n">
        <v>0.0442</v>
      </c>
      <c r="Q92" s="32" t="n">
        <v>83.14709999999999</v>
      </c>
      <c r="R92" s="31">
        <f>FALSE()</f>
        <v/>
      </c>
      <c r="S92" s="31">
        <f>FALSE()</f>
        <v/>
      </c>
      <c r="T92" s="31">
        <f>FALSE()</f>
        <v/>
      </c>
      <c r="U92" s="31">
        <f>FALSE()</f>
        <v/>
      </c>
    </row>
    <row r="93" ht="15" customHeight="1" s="22">
      <c r="A93" s="31" t="n">
        <v>2022</v>
      </c>
      <c r="B93" s="31" t="n">
        <v>1</v>
      </c>
      <c r="C93" s="31">
        <f>FALSE()</f>
        <v/>
      </c>
      <c r="D93" s="32" t="n">
        <v>2.5924</v>
      </c>
      <c r="E93" s="32" t="n">
        <v>0.7471</v>
      </c>
      <c r="F93" s="32" t="n">
        <v>28.0558</v>
      </c>
      <c r="G93" s="32" t="n">
        <v>12.4365</v>
      </c>
      <c r="H93" s="32" t="n">
        <v>1.8556</v>
      </c>
      <c r="I93" s="32" t="n">
        <v>11.7816</v>
      </c>
      <c r="J93" s="32" t="n">
        <v>12.6492</v>
      </c>
      <c r="K93" s="32" t="n">
        <v>0.0015</v>
      </c>
      <c r="L93" s="32" t="n">
        <v>2.1627</v>
      </c>
      <c r="M93" s="32" t="n">
        <v>10.0609</v>
      </c>
      <c r="N93" s="32" t="n">
        <v>1.5213</v>
      </c>
      <c r="O93" s="32" t="n">
        <v>0.5883</v>
      </c>
      <c r="P93" s="32" t="n">
        <v>0.0403</v>
      </c>
      <c r="Q93" s="32" t="n">
        <v>84.4932</v>
      </c>
      <c r="R93" s="31">
        <f>FALSE()</f>
        <v/>
      </c>
      <c r="S93" s="31">
        <f>FALSE()</f>
        <v/>
      </c>
      <c r="T93" s="31">
        <f>FALSE()</f>
        <v/>
      </c>
      <c r="U93" s="31">
        <f>FALSE()</f>
        <v/>
      </c>
    </row>
    <row r="94" ht="15" customHeight="1" s="22">
      <c r="A94" s="31" t="n">
        <v>2022</v>
      </c>
      <c r="B94" s="31" t="n">
        <v>2</v>
      </c>
      <c r="C94" s="31">
        <f>FALSE()</f>
        <v/>
      </c>
      <c r="D94" s="32" t="n">
        <v>0.5101</v>
      </c>
      <c r="E94" s="32" t="n">
        <v>0.6405999999999999</v>
      </c>
      <c r="F94" s="32" t="n">
        <v>31.8739</v>
      </c>
      <c r="G94" s="32" t="n">
        <v>12.8643</v>
      </c>
      <c r="H94" s="32" t="n">
        <v>0.88</v>
      </c>
      <c r="I94" s="32" t="n">
        <v>7.4673</v>
      </c>
      <c r="J94" s="32" t="n">
        <v>8.9003</v>
      </c>
      <c r="K94" s="32" t="n">
        <v>0.0027</v>
      </c>
      <c r="L94" s="32" t="n">
        <v>5.1984</v>
      </c>
      <c r="M94" s="32" t="n">
        <v>8.2706</v>
      </c>
      <c r="N94" s="32" t="n">
        <v>1.5358</v>
      </c>
      <c r="O94" s="32" t="n">
        <v>0.4437</v>
      </c>
      <c r="P94" s="32" t="n">
        <v>0.0357</v>
      </c>
      <c r="Q94" s="32" t="n">
        <v>78.6234</v>
      </c>
      <c r="R94" s="31">
        <f>FALSE()</f>
        <v/>
      </c>
      <c r="S94" s="31">
        <f>FALSE()</f>
        <v/>
      </c>
      <c r="T94" s="31">
        <f>FALSE()</f>
        <v/>
      </c>
      <c r="U94" s="31">
        <f>FALSE()</f>
        <v/>
      </c>
    </row>
    <row r="95" ht="15" customHeight="1" s="22">
      <c r="A95" s="31" t="n">
        <v>2022</v>
      </c>
      <c r="B95" s="31" t="n">
        <v>3</v>
      </c>
      <c r="C95" s="31">
        <f>FALSE()</f>
        <v/>
      </c>
      <c r="D95" s="32" t="n">
        <v>1.5199</v>
      </c>
      <c r="E95" s="32" t="n">
        <v>0.725</v>
      </c>
      <c r="F95" s="32" t="n">
        <v>34.2533</v>
      </c>
      <c r="G95" s="32" t="n">
        <v>10.7994</v>
      </c>
      <c r="H95" s="32" t="n">
        <v>0.6445</v>
      </c>
      <c r="I95" s="32" t="n">
        <v>5.6894</v>
      </c>
      <c r="J95" s="32" t="n">
        <v>7.7566</v>
      </c>
      <c r="K95" s="32" t="n">
        <v>0.0034</v>
      </c>
      <c r="L95" s="32" t="n">
        <v>4.9053</v>
      </c>
      <c r="M95" s="32" t="n">
        <v>9.282400000000001</v>
      </c>
      <c r="N95" s="32" t="n">
        <v>1.5033</v>
      </c>
      <c r="O95" s="32" t="n">
        <v>0.4034</v>
      </c>
      <c r="P95" s="32" t="n">
        <v>0.0372</v>
      </c>
      <c r="Q95" s="32" t="n">
        <v>77.5231</v>
      </c>
      <c r="R95" s="31">
        <f>FALSE()</f>
        <v/>
      </c>
      <c r="S95" s="31">
        <f>FALSE()</f>
        <v/>
      </c>
      <c r="T95" s="31">
        <f>FALSE()</f>
        <v/>
      </c>
      <c r="U95" s="31">
        <f>FALSE()</f>
        <v/>
      </c>
    </row>
    <row r="96" ht="15" customHeight="1" s="22">
      <c r="A96" s="31" t="n">
        <v>2022</v>
      </c>
      <c r="B96" s="31" t="n">
        <v>4</v>
      </c>
      <c r="C96" s="31">
        <f>FALSE()</f>
        <v/>
      </c>
      <c r="D96" s="32" t="n">
        <v>1.3207</v>
      </c>
      <c r="E96" s="32" t="n">
        <v>0.7175</v>
      </c>
      <c r="F96" s="32" t="n">
        <v>30.935</v>
      </c>
      <c r="G96" s="32" t="n">
        <v>11.3003</v>
      </c>
      <c r="H96" s="32" t="n">
        <v>1.6875</v>
      </c>
      <c r="I96" s="32" t="n">
        <v>10.1634</v>
      </c>
      <c r="J96" s="32" t="n">
        <v>15.8066</v>
      </c>
      <c r="K96" s="32" t="n">
        <v>0.0035</v>
      </c>
      <c r="L96" s="32" t="n">
        <v>1.7164</v>
      </c>
      <c r="M96" s="32" t="n">
        <v>8.337999999999999</v>
      </c>
      <c r="N96" s="32" t="n">
        <v>1.5555</v>
      </c>
      <c r="O96" s="32" t="n">
        <v>0.5555</v>
      </c>
      <c r="P96" s="32" t="n">
        <v>0.0813</v>
      </c>
      <c r="Q96" s="32" t="n">
        <v>84.1811</v>
      </c>
      <c r="R96" s="31">
        <f>FALSE()</f>
        <v/>
      </c>
      <c r="S96" s="31">
        <f>FALSE()</f>
        <v/>
      </c>
      <c r="T96" s="31">
        <f>FALSE()</f>
        <v/>
      </c>
      <c r="U96" s="31">
        <f>FALSE()</f>
        <v/>
      </c>
    </row>
    <row r="97" ht="15" customHeight="1" s="22">
      <c r="A97" s="31" t="n">
        <v>2023</v>
      </c>
      <c r="B97" s="31" t="n">
        <v>1</v>
      </c>
      <c r="C97" s="31">
        <f>FALSE()</f>
        <v/>
      </c>
      <c r="D97" s="32" t="n">
        <v>1.196</v>
      </c>
      <c r="E97" s="32" t="n">
        <v>0.6221</v>
      </c>
      <c r="F97" s="32" t="n">
        <v>26.9882</v>
      </c>
      <c r="G97" s="32" t="n">
        <v>9.7606</v>
      </c>
      <c r="H97" s="32" t="n">
        <v>1.8396</v>
      </c>
      <c r="I97" s="32" t="n">
        <v>10.4738</v>
      </c>
      <c r="J97" s="32" t="n">
        <v>15.0373</v>
      </c>
      <c r="K97" s="32" t="n">
        <v>0.0032</v>
      </c>
      <c r="L97" s="32" t="n">
        <v>2.2626</v>
      </c>
      <c r="M97" s="32" t="n">
        <v>8.9221</v>
      </c>
      <c r="N97" s="32" t="n">
        <v>1.61</v>
      </c>
      <c r="O97" s="32" t="n">
        <v>0.6641</v>
      </c>
      <c r="P97" s="32" t="n">
        <v>0.1163</v>
      </c>
      <c r="Q97" s="32" t="n">
        <v>79.49590000000001</v>
      </c>
      <c r="R97" s="31">
        <f>FALSE()</f>
        <v/>
      </c>
      <c r="S97" s="31">
        <f>FALSE()</f>
        <v/>
      </c>
      <c r="T97" s="31">
        <f>FALSE()</f>
        <v/>
      </c>
      <c r="U97" s="31">
        <f>FALSE()</f>
        <v/>
      </c>
    </row>
    <row r="98" ht="15" customHeight="1" s="22">
      <c r="A98" s="31" t="n">
        <v>2023</v>
      </c>
      <c r="B98" s="31" t="n">
        <v>2</v>
      </c>
      <c r="C98" s="31">
        <f>FALSE()</f>
        <v/>
      </c>
      <c r="D98" s="32" t="n">
        <v>0.2807</v>
      </c>
      <c r="E98" s="32" t="n">
        <v>0.4855</v>
      </c>
      <c r="F98" s="32" t="n">
        <v>25.8669</v>
      </c>
      <c r="G98" s="32" t="n">
        <v>10.1264</v>
      </c>
      <c r="H98" s="32" t="n">
        <v>0.8449</v>
      </c>
      <c r="I98" s="32" t="n">
        <v>5.384</v>
      </c>
      <c r="J98" s="32" t="n">
        <v>8.578099999999999</v>
      </c>
      <c r="K98" s="32" t="n">
        <v>0.0032</v>
      </c>
      <c r="L98" s="32" t="n">
        <v>5.7459</v>
      </c>
      <c r="M98" s="32" t="n">
        <v>7.348</v>
      </c>
      <c r="N98" s="32" t="n">
        <v>1.5843</v>
      </c>
      <c r="O98" s="32" t="n">
        <v>0.2962</v>
      </c>
      <c r="P98" s="32" t="n">
        <v>0.1298</v>
      </c>
      <c r="Q98" s="32" t="n">
        <v>66.67400000000001</v>
      </c>
      <c r="R98" s="31">
        <f>FALSE()</f>
        <v/>
      </c>
      <c r="S98" s="31">
        <f>FALSE()</f>
        <v/>
      </c>
      <c r="T98" s="31">
        <f>FALSE()</f>
        <v/>
      </c>
      <c r="U98" s="31">
        <f>FALSE()</f>
        <v/>
      </c>
    </row>
    <row r="99" ht="15" customHeight="1" s="22">
      <c r="A99" s="31" t="n">
        <v>2023</v>
      </c>
      <c r="B99" s="31" t="n">
        <v>3</v>
      </c>
      <c r="C99" s="31">
        <f>FALSE()</f>
        <v/>
      </c>
      <c r="D99" s="32" t="n">
        <v>0.7241</v>
      </c>
      <c r="E99" s="32" t="n">
        <v>0.4711</v>
      </c>
      <c r="F99" s="32" t="n">
        <v>24.1903</v>
      </c>
      <c r="G99" s="32" t="n">
        <v>10.4861</v>
      </c>
      <c r="H99" s="32" t="n">
        <v>1.0602</v>
      </c>
      <c r="I99" s="32" t="n">
        <v>6.8739</v>
      </c>
      <c r="J99" s="32" t="n">
        <v>9.795999999999999</v>
      </c>
      <c r="K99" s="32" t="n">
        <v>0.0034</v>
      </c>
      <c r="L99" s="32" t="n">
        <v>4.9675</v>
      </c>
      <c r="M99" s="32" t="n">
        <v>7.9528</v>
      </c>
      <c r="N99" s="32" t="n">
        <v>1.5532</v>
      </c>
      <c r="O99" s="32" t="n">
        <v>0.2459</v>
      </c>
      <c r="P99" s="32" t="n">
        <v>0.2118</v>
      </c>
      <c r="Q99" s="32" t="n">
        <v>68.5363</v>
      </c>
      <c r="R99" s="31">
        <f>FALSE()</f>
        <v/>
      </c>
      <c r="S99" s="31">
        <f>FALSE()</f>
        <v/>
      </c>
      <c r="T99" s="31">
        <f>FALSE()</f>
        <v/>
      </c>
      <c r="U99" s="31">
        <f>FALSE()</f>
        <v/>
      </c>
    </row>
    <row r="100" ht="15" customHeight="1" s="22">
      <c r="A100" s="31" t="n">
        <v>2023</v>
      </c>
      <c r="B100" s="31" t="n">
        <v>4</v>
      </c>
      <c r="C100" s="31">
        <f>FALSE()</f>
        <v/>
      </c>
      <c r="D100" s="32" t="n">
        <v>1.4521</v>
      </c>
      <c r="E100" s="32" t="n">
        <v>0.422</v>
      </c>
      <c r="F100" s="32" t="n">
        <v>24.6636</v>
      </c>
      <c r="G100" s="32" t="n">
        <v>10.2229</v>
      </c>
      <c r="H100" s="32" t="n">
        <v>1.8645</v>
      </c>
      <c r="I100" s="32" t="n">
        <v>10.6008</v>
      </c>
      <c r="J100" s="32" t="n">
        <v>16.0235</v>
      </c>
      <c r="K100" s="32" t="n">
        <v>0.0029</v>
      </c>
      <c r="L100" s="32" t="n">
        <v>1.9155</v>
      </c>
      <c r="M100" s="32" t="n">
        <v>9.861800000000001</v>
      </c>
      <c r="N100" s="32" t="n">
        <v>1.5246</v>
      </c>
      <c r="O100" s="32" t="n">
        <v>0.6171</v>
      </c>
      <c r="P100" s="32" t="n">
        <v>0.3073</v>
      </c>
      <c r="Q100" s="32" t="n">
        <v>79.4786</v>
      </c>
      <c r="R100" s="31">
        <f>FALSE()</f>
        <v/>
      </c>
      <c r="S100" s="31">
        <f>FALSE()</f>
        <v/>
      </c>
      <c r="T100" s="31">
        <f>FALSE()</f>
        <v/>
      </c>
      <c r="U100" s="31">
        <f>FALSE()</f>
        <v/>
      </c>
    </row>
    <row r="101" ht="15" customHeight="1" s="22">
      <c r="A101" s="31" t="n">
        <v>2024</v>
      </c>
      <c r="B101" s="31" t="n">
        <v>1</v>
      </c>
      <c r="C101" s="31">
        <f>FALSE()</f>
        <v/>
      </c>
      <c r="D101" s="32" t="n">
        <v>1.348</v>
      </c>
      <c r="E101" s="32" t="n">
        <v>0.4129</v>
      </c>
      <c r="F101" s="32" t="n">
        <v>25.8971</v>
      </c>
      <c r="G101" s="32" t="n">
        <v>8.272</v>
      </c>
      <c r="H101" s="32" t="n">
        <v>2.0433</v>
      </c>
      <c r="I101" s="32" t="n">
        <v>10.8986</v>
      </c>
      <c r="J101" s="32" t="n">
        <v>15.126</v>
      </c>
      <c r="K101" s="32" t="n">
        <v>0.0029</v>
      </c>
      <c r="L101" s="32" t="n">
        <v>1.8438</v>
      </c>
      <c r="M101" s="32" t="n">
        <v>10.0151</v>
      </c>
      <c r="N101" s="32" t="n">
        <v>1.5829</v>
      </c>
      <c r="O101" s="32" t="n">
        <v>0.6475</v>
      </c>
      <c r="P101" s="32" t="n">
        <v>0.3261</v>
      </c>
      <c r="Q101" s="32" t="n">
        <v>78.4161</v>
      </c>
      <c r="R101" s="31">
        <f>FALSE()</f>
        <v/>
      </c>
      <c r="S101" s="31">
        <f>FALSE()</f>
        <v/>
      </c>
      <c r="T101" s="31">
        <f>FALSE()</f>
        <v/>
      </c>
      <c r="U101" s="31">
        <f>FALSE()</f>
        <v/>
      </c>
    </row>
    <row r="102" ht="15" customHeight="1" s="22">
      <c r="A102" s="31" t="n">
        <v>2024</v>
      </c>
      <c r="B102" s="31" t="n">
        <v>2</v>
      </c>
      <c r="C102" s="31">
        <f>FALSE()</f>
        <v/>
      </c>
      <c r="D102" s="32" t="n">
        <v>0.4047</v>
      </c>
      <c r="E102" s="32" t="n">
        <v>0.4118</v>
      </c>
      <c r="F102" s="32" t="n">
        <v>16.5619</v>
      </c>
      <c r="G102" s="32" t="n">
        <v>11.3606</v>
      </c>
      <c r="H102" s="32" t="n">
        <v>1.0777</v>
      </c>
      <c r="I102" s="32" t="n">
        <v>7.2979</v>
      </c>
      <c r="J102" s="32" t="n">
        <v>9.9947</v>
      </c>
      <c r="K102" s="32" t="n">
        <v>0.0033</v>
      </c>
      <c r="L102" s="32" t="n">
        <v>5.7689</v>
      </c>
      <c r="M102" s="32" t="n">
        <v>9.7034</v>
      </c>
      <c r="N102" s="32" t="n">
        <v>1.6155</v>
      </c>
      <c r="O102" s="32" t="n">
        <v>0.4646</v>
      </c>
      <c r="P102" s="32" t="n">
        <v>0.3547</v>
      </c>
      <c r="Q102" s="32" t="n">
        <v>65.0198</v>
      </c>
      <c r="R102" s="31">
        <f>FALSE()</f>
        <v/>
      </c>
      <c r="S102" s="31">
        <f>FALSE()</f>
        <v/>
      </c>
      <c r="T102" s="31">
        <f>FALSE()</f>
        <v/>
      </c>
      <c r="U102" s="31">
        <f>FALSE()</f>
        <v/>
      </c>
    </row>
    <row r="103" ht="15" customHeight="1" s="22">
      <c r="A103" s="31" t="n">
        <v>2024</v>
      </c>
      <c r="B103" s="31" t="n">
        <v>3</v>
      </c>
      <c r="C103" s="31">
        <f>FALSE()</f>
        <v/>
      </c>
      <c r="D103" s="32" t="n">
        <v>0.2846</v>
      </c>
      <c r="E103" s="32" t="n">
        <v>0.4115</v>
      </c>
      <c r="F103" s="32" t="n">
        <v>17.3389</v>
      </c>
      <c r="G103" s="32" t="n">
        <v>11.3236</v>
      </c>
      <c r="H103" s="32" t="n">
        <v>1.1164</v>
      </c>
      <c r="I103" s="32" t="n">
        <v>6.9403</v>
      </c>
      <c r="J103" s="32" t="n">
        <v>9.8376</v>
      </c>
      <c r="K103" s="32" t="n">
        <v>0.0032</v>
      </c>
      <c r="L103" s="32" t="n">
        <v>5.5463</v>
      </c>
      <c r="M103" s="32" t="n">
        <v>9.852</v>
      </c>
      <c r="N103" s="32" t="n">
        <v>1.5826</v>
      </c>
      <c r="O103" s="32" t="n">
        <v>0.4286</v>
      </c>
      <c r="P103" s="32" t="n">
        <v>0.3774</v>
      </c>
      <c r="Q103" s="32" t="n">
        <v>65.04300000000001</v>
      </c>
      <c r="R103" s="31">
        <f>FALSE()</f>
        <v/>
      </c>
      <c r="S103" s="31">
        <f>FALSE()</f>
        <v/>
      </c>
      <c r="T103" s="31">
        <f>FALSE()</f>
        <v/>
      </c>
      <c r="U103" s="31">
        <f>FALSE()</f>
        <v/>
      </c>
    </row>
    <row r="104" ht="15" customHeight="1" s="22">
      <c r="A104" s="31" t="n">
        <v>2024</v>
      </c>
      <c r="B104" s="31" t="n">
        <v>4</v>
      </c>
      <c r="C104" s="31">
        <f>FALSE()</f>
        <v/>
      </c>
      <c r="D104" s="32" t="n">
        <v>0.0028</v>
      </c>
      <c r="E104" s="32" t="n">
        <v>0.5044</v>
      </c>
      <c r="F104" s="32" t="n">
        <v>27.6247</v>
      </c>
      <c r="G104" s="32" t="n">
        <v>9.631600000000001</v>
      </c>
      <c r="H104" s="32" t="n">
        <v>1.4932</v>
      </c>
      <c r="I104" s="32" t="n">
        <v>9.676500000000001</v>
      </c>
      <c r="J104" s="32" t="n">
        <v>13.8464</v>
      </c>
      <c r="K104" s="32" t="n">
        <v>0.0036</v>
      </c>
      <c r="L104" s="32" t="n">
        <v>1.8333</v>
      </c>
      <c r="M104" s="32" t="n">
        <v>10.5596</v>
      </c>
      <c r="N104" s="32" t="n">
        <v>1.4689</v>
      </c>
      <c r="O104" s="32" t="n">
        <v>0.5192</v>
      </c>
      <c r="P104" s="32" t="n">
        <v>0.3969</v>
      </c>
      <c r="Q104" s="32" t="n">
        <v>77.5611</v>
      </c>
      <c r="R104" s="31">
        <f>FALSE()</f>
        <v/>
      </c>
      <c r="S104" s="31">
        <f>FALSE()</f>
        <v/>
      </c>
      <c r="T104" s="31">
        <f>FALSE()</f>
        <v/>
      </c>
      <c r="U104" s="31">
        <f>FALSE()</f>
        <v/>
      </c>
    </row>
    <row r="105" ht="15" customHeight="1" s="22">
      <c r="A105" s="31" t="n">
        <v>2025</v>
      </c>
      <c r="B105" s="31" t="n">
        <v>1</v>
      </c>
      <c r="C105" s="31">
        <f>FALSE()</f>
        <v/>
      </c>
      <c r="D105" s="32" t="n">
        <v>0</v>
      </c>
      <c r="E105" s="32" t="n">
        <v>0.4498</v>
      </c>
      <c r="F105" s="32" t="n">
        <v>31.6529</v>
      </c>
      <c r="G105" s="32" t="n">
        <v>9.5099</v>
      </c>
      <c r="H105" s="32" t="n">
        <v>1.647</v>
      </c>
      <c r="I105" s="32" t="n">
        <v>9.5387</v>
      </c>
      <c r="J105" s="32" t="n">
        <v>12.9769</v>
      </c>
      <c r="K105" s="32" t="n">
        <v>0.0052</v>
      </c>
      <c r="L105" s="32" t="n">
        <v>2.6528</v>
      </c>
      <c r="M105" s="32" t="n">
        <v>10.2155</v>
      </c>
      <c r="N105" s="32" t="n">
        <v>1.5084</v>
      </c>
      <c r="O105" s="32" t="n">
        <v>0.5508999999999999</v>
      </c>
      <c r="P105" s="32" t="n">
        <v>0.4956</v>
      </c>
      <c r="Q105" s="32" t="n">
        <v>81.20359999999999</v>
      </c>
      <c r="R105" s="31">
        <f>FALSE()</f>
        <v/>
      </c>
      <c r="S105" s="31">
        <f>FALSE()</f>
        <v/>
      </c>
      <c r="T105" s="31">
        <f>FALSE()</f>
        <v/>
      </c>
      <c r="U105" s="31">
        <f>FALSE()</f>
        <v/>
      </c>
    </row>
    <row r="106" ht="15" customHeight="1" s="22">
      <c r="A106" s="31" t="n">
        <v>2025</v>
      </c>
      <c r="B106" s="31" t="n">
        <v>2</v>
      </c>
      <c r="C106" s="31">
        <f>FALSE()</f>
        <v/>
      </c>
      <c r="D106" s="32" t="n">
        <v>0</v>
      </c>
      <c r="E106" s="32" t="n">
        <v>0.4334</v>
      </c>
      <c r="F106" s="32" t="n">
        <v>17.6016</v>
      </c>
      <c r="G106" s="32" t="n">
        <v>9.859400000000001</v>
      </c>
      <c r="H106" s="32" t="n">
        <v>0.7143</v>
      </c>
      <c r="I106" s="32" t="n">
        <v>7.0335</v>
      </c>
      <c r="J106" s="32" t="n">
        <v>10.4799</v>
      </c>
      <c r="K106" s="32" t="n">
        <v>0.0046</v>
      </c>
      <c r="L106" s="32" t="n">
        <v>8.413</v>
      </c>
      <c r="M106" s="32" t="n">
        <v>9.774800000000001</v>
      </c>
      <c r="N106" s="32" t="n">
        <v>1.529</v>
      </c>
      <c r="O106" s="32" t="n">
        <v>0.195</v>
      </c>
      <c r="P106" s="32" t="n">
        <v>0.5669999999999999</v>
      </c>
      <c r="Q106" s="32" t="n">
        <v>66.6056</v>
      </c>
      <c r="R106" s="31">
        <f>FALSE()</f>
        <v/>
      </c>
      <c r="S106" s="31">
        <f>FALSE()</f>
        <v/>
      </c>
      <c r="T106" s="31">
        <f>FALSE()</f>
        <v/>
      </c>
      <c r="U106" s="31">
        <f>FALSE()</f>
        <v/>
      </c>
    </row>
    <row r="107" ht="15" customHeight="1" s="22">
      <c r="A107" s="31" t="n">
        <v>2025</v>
      </c>
      <c r="B107" s="31" t="n">
        <v>3</v>
      </c>
      <c r="C107" s="31">
        <f>FALSE()</f>
        <v/>
      </c>
      <c r="D107" s="32" t="n">
        <v>0</v>
      </c>
      <c r="E107" s="32" t="n">
        <v>0.405</v>
      </c>
      <c r="F107" s="32" t="n">
        <v>18.8672</v>
      </c>
      <c r="G107" s="32" t="n">
        <v>8.1465</v>
      </c>
      <c r="H107" s="32" t="n">
        <v>1.057</v>
      </c>
      <c r="I107" s="32" t="n">
        <v>6.9686</v>
      </c>
      <c r="J107" s="32" t="n">
        <v>10.8249</v>
      </c>
      <c r="K107" s="32" t="n">
        <v>0.0037</v>
      </c>
      <c r="L107" s="32" t="n">
        <v>6.9375</v>
      </c>
      <c r="M107" s="32" t="n">
        <v>10.2631</v>
      </c>
      <c r="N107" s="32" t="n">
        <v>1.5173</v>
      </c>
      <c r="O107" s="32" t="n">
        <v>0.209</v>
      </c>
      <c r="P107" s="32" t="n">
        <v>0.5483</v>
      </c>
      <c r="Q107" s="32" t="n">
        <v>65.74809999999999</v>
      </c>
      <c r="R107" s="31">
        <f>FALSE()</f>
        <v/>
      </c>
      <c r="S107" s="31">
        <f>FALSE()</f>
        <v/>
      </c>
      <c r="T107" s="31">
        <f>FALSE()</f>
        <v/>
      </c>
      <c r="U107" s="31">
        <f>FALSE()</f>
        <v/>
      </c>
    </row>
    <row r="108" ht="15" customHeight="1" s="22">
      <c r="A108" s="31" t="n">
        <v>2025</v>
      </c>
      <c r="B108" s="31" t="n">
        <v>4</v>
      </c>
      <c r="C108" s="31">
        <f>FALSE()</f>
        <v/>
      </c>
      <c r="D108" s="32" t="n">
        <v>0</v>
      </c>
      <c r="E108" s="32" t="n">
        <v>0.4095</v>
      </c>
      <c r="F108" s="32" t="n">
        <v>25.0809</v>
      </c>
      <c r="G108" s="32" t="n">
        <v>8.335000000000001</v>
      </c>
      <c r="H108" s="32" t="n">
        <v>1.968</v>
      </c>
      <c r="I108" s="32" t="n">
        <v>10.8787</v>
      </c>
      <c r="J108" s="32" t="n">
        <v>17.7389</v>
      </c>
      <c r="K108" s="32" t="n">
        <v>0.0025</v>
      </c>
      <c r="L108" s="32" t="n">
        <v>2.1219</v>
      </c>
      <c r="M108" s="32" t="n">
        <v>10.7733</v>
      </c>
      <c r="N108" s="32" t="n">
        <v>1.5625</v>
      </c>
      <c r="O108" s="32" t="n">
        <v>0.4824</v>
      </c>
      <c r="P108" s="32" t="n">
        <v>0.6639</v>
      </c>
      <c r="Q108" s="32" t="n">
        <v>80.0175</v>
      </c>
      <c r="R108" s="31">
        <f>FALSE()</f>
        <v/>
      </c>
      <c r="S108" s="31">
        <f>FALSE()</f>
        <v/>
      </c>
      <c r="T108" s="31">
        <f>FALSE()</f>
        <v/>
      </c>
      <c r="U108" s="31">
        <f>FALSE()</f>
        <v/>
      </c>
    </row>
    <row r="109" ht="15" customHeight="1" s="22">
      <c r="A109" s="31" t="n">
        <v>2026</v>
      </c>
      <c r="B109" s="31" t="n">
        <v>1</v>
      </c>
      <c r="C109" s="31">
        <f>TRUE()</f>
        <v/>
      </c>
      <c r="D109" s="32" t="n">
        <v>0</v>
      </c>
      <c r="E109" s="32" t="n">
        <v>0.4075</v>
      </c>
      <c r="F109" s="32" t="n">
        <v>26.6067</v>
      </c>
      <c r="G109" s="32" t="n">
        <v>8.8337</v>
      </c>
      <c r="H109" s="32" t="n">
        <v>1.5737</v>
      </c>
      <c r="I109" s="32" t="n">
        <v>12.4155</v>
      </c>
      <c r="J109" s="32" t="n">
        <v>16.8979</v>
      </c>
      <c r="K109" s="32" t="n">
        <v>0.0018</v>
      </c>
      <c r="L109" s="32" t="n">
        <v>2.6997</v>
      </c>
      <c r="M109" s="32" t="n">
        <v>10.0711</v>
      </c>
      <c r="N109" s="32" t="n">
        <v>1.5177</v>
      </c>
      <c r="O109" s="32" t="n">
        <v>0.4392</v>
      </c>
      <c r="P109" s="32" t="n">
        <v>0.8217</v>
      </c>
      <c r="Q109" s="32" t="n">
        <v>82.2863</v>
      </c>
      <c r="R109" s="31">
        <f>FALSE()</f>
        <v/>
      </c>
      <c r="S109" s="31">
        <f>FALSE()</f>
        <v/>
      </c>
      <c r="T109" s="31">
        <f>FALSE()</f>
        <v/>
      </c>
      <c r="U109" s="31">
        <f>FALSE()</f>
        <v/>
      </c>
    </row>
    <row r="111" ht="15" customHeight="1" s="22">
      <c r="A111" s="29" t="inlineStr">
        <is>
          <t>Yellow cells = backfilled estimates from annual DUKES data (see Cover sheet).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Q111"/>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8" customWidth="1" style="21" min="1" max="1"/>
    <col width="9" customWidth="1" style="21" min="2" max="2"/>
    <col width="13" customWidth="1" style="21" min="3" max="16"/>
    <col width="16" customWidth="1" style="21" min="17" max="17"/>
  </cols>
  <sheetData>
    <row r="1" ht="17.25" customHeight="1" s="22">
      <c r="A1" s="28" t="inlineStr">
        <is>
          <t>UK Installed Nameplate Capacity by Fuel (MW) - Quarterly, All Generating Companies</t>
        </is>
      </c>
    </row>
    <row r="2" ht="262.5" customHeight="1" s="22">
      <c r="A2" s="34" t="inlineStr">
        <is>
          <t>Sources: DUKES 5.7 (thermal/nuclear, de-rated NOT applied to these fuels) + DUKES 6.2 (wind/solar/marine/hydro, nameplate not de-rated). See Cover sheet - important correction explained there.</t>
        </is>
      </c>
    </row>
    <row r="4" ht="23.25" customHeight="1" s="22">
      <c r="A4" s="30" t="inlineStr">
        <is>
          <t>Year</t>
        </is>
      </c>
      <c r="B4" s="30" t="inlineStr">
        <is>
          <t>Quarter</t>
        </is>
      </c>
      <c r="C4" s="30" t="inlineStr">
        <is>
          <t>Coal</t>
        </is>
      </c>
      <c r="D4" s="30" t="inlineStr">
        <is>
          <t>Oil</t>
        </is>
      </c>
      <c r="E4" s="30" t="inlineStr">
        <is>
          <t>Gas</t>
        </is>
      </c>
      <c r="F4" s="30" t="inlineStr">
        <is>
          <t>Nuclear</t>
        </is>
      </c>
      <c r="G4" s="30" t="inlineStr">
        <is>
          <t>Hydro (natural flow)</t>
        </is>
      </c>
      <c r="H4" s="30" t="inlineStr">
        <is>
          <t>Onshore wind</t>
        </is>
      </c>
      <c r="I4" s="30" t="inlineStr">
        <is>
          <t>Offshore wind</t>
        </is>
      </c>
      <c r="J4" s="30" t="inlineStr">
        <is>
          <t>Shoreline wave / tidal</t>
        </is>
      </c>
      <c r="K4" s="30" t="inlineStr">
        <is>
          <t>Solar</t>
        </is>
      </c>
      <c r="L4" s="30" t="inlineStr">
        <is>
          <t>Bioenergy</t>
        </is>
      </c>
      <c r="M4" s="30" t="inlineStr">
        <is>
          <t>Other fuels</t>
        </is>
      </c>
      <c r="N4" s="30" t="inlineStr">
        <is>
          <t>Pumped storage</t>
        </is>
      </c>
      <c r="O4" s="30" t="inlineStr">
        <is>
          <t>Battery storage</t>
        </is>
      </c>
      <c r="P4" s="30" t="inlineStr">
        <is>
          <t>Total capacity</t>
        </is>
      </c>
      <c r="Q4" s="30" t="inlineStr">
        <is>
          <t>Capacity forward filled (2025-26)</t>
        </is>
      </c>
    </row>
    <row r="5" ht="15" customHeight="1" s="22">
      <c r="A5" s="31" t="n">
        <v>2000</v>
      </c>
      <c r="B5" s="31" t="n">
        <v>1</v>
      </c>
      <c r="C5" s="35" t="n">
        <v>25428.42</v>
      </c>
      <c r="D5" s="35" t="n">
        <v>4331.96</v>
      </c>
      <c r="E5" s="35" t="n">
        <v>23257.99</v>
      </c>
      <c r="F5" s="35" t="n">
        <v>12486</v>
      </c>
      <c r="G5" s="35" t="n">
        <v>1602.56</v>
      </c>
      <c r="H5" s="35" t="n">
        <v>431.33</v>
      </c>
      <c r="I5" s="35" t="n">
        <v>3.8</v>
      </c>
      <c r="J5" s="35" t="n">
        <v>0.5</v>
      </c>
      <c r="K5" s="35" t="n">
        <v>1.93</v>
      </c>
      <c r="L5" s="35" t="n">
        <v>776.08</v>
      </c>
      <c r="M5" s="35" t="n">
        <v>7709.43</v>
      </c>
      <c r="N5" s="35" t="n">
        <v>2788</v>
      </c>
      <c r="O5" s="35" t="inlineStr">
        <is>
          <t>[x]</t>
        </is>
      </c>
      <c r="P5" s="35" t="n">
        <v>78450.511</v>
      </c>
      <c r="Q5" s="31">
        <f>FALSE()</f>
        <v/>
      </c>
    </row>
    <row r="6" ht="15" customHeight="1" s="22">
      <c r="A6" s="31" t="n">
        <v>2000</v>
      </c>
      <c r="B6" s="31" t="n">
        <v>2</v>
      </c>
      <c r="C6" s="35" t="n">
        <v>25428.42</v>
      </c>
      <c r="D6" s="35" t="n">
        <v>4331.96</v>
      </c>
      <c r="E6" s="35" t="n">
        <v>23257.99</v>
      </c>
      <c r="F6" s="35" t="n">
        <v>12486</v>
      </c>
      <c r="G6" s="35" t="n">
        <v>1602.56</v>
      </c>
      <c r="H6" s="35" t="n">
        <v>431.33</v>
      </c>
      <c r="I6" s="35" t="n">
        <v>3.8</v>
      </c>
      <c r="J6" s="35" t="n">
        <v>0.5</v>
      </c>
      <c r="K6" s="35" t="n">
        <v>1.93</v>
      </c>
      <c r="L6" s="35" t="n">
        <v>776.08</v>
      </c>
      <c r="M6" s="35" t="n">
        <v>7709.43</v>
      </c>
      <c r="N6" s="35" t="n">
        <v>2788</v>
      </c>
      <c r="O6" s="35" t="inlineStr">
        <is>
          <t>[x]</t>
        </is>
      </c>
      <c r="P6" s="35" t="n">
        <v>78450.511</v>
      </c>
      <c r="Q6" s="31">
        <f>FALSE()</f>
        <v/>
      </c>
    </row>
    <row r="7" ht="15" customHeight="1" s="22">
      <c r="A7" s="31" t="n">
        <v>2000</v>
      </c>
      <c r="B7" s="31" t="n">
        <v>3</v>
      </c>
      <c r="C7" s="35" t="n">
        <v>25428.42</v>
      </c>
      <c r="D7" s="35" t="n">
        <v>4331.96</v>
      </c>
      <c r="E7" s="35" t="n">
        <v>23257.99</v>
      </c>
      <c r="F7" s="35" t="n">
        <v>12486</v>
      </c>
      <c r="G7" s="35" t="n">
        <v>1602.56</v>
      </c>
      <c r="H7" s="35" t="n">
        <v>431.33</v>
      </c>
      <c r="I7" s="35" t="n">
        <v>3.8</v>
      </c>
      <c r="J7" s="35" t="n">
        <v>0.5</v>
      </c>
      <c r="K7" s="35" t="n">
        <v>1.93</v>
      </c>
      <c r="L7" s="35" t="n">
        <v>776.08</v>
      </c>
      <c r="M7" s="35" t="n">
        <v>7709.43</v>
      </c>
      <c r="N7" s="35" t="n">
        <v>2788</v>
      </c>
      <c r="O7" s="35" t="inlineStr">
        <is>
          <t>[x]</t>
        </is>
      </c>
      <c r="P7" s="35" t="n">
        <v>78450.511</v>
      </c>
      <c r="Q7" s="31">
        <f>FALSE()</f>
        <v/>
      </c>
    </row>
    <row r="8" ht="15" customHeight="1" s="22">
      <c r="A8" s="31" t="n">
        <v>2000</v>
      </c>
      <c r="B8" s="31" t="n">
        <v>4</v>
      </c>
      <c r="C8" s="35" t="n">
        <v>25428.42</v>
      </c>
      <c r="D8" s="35" t="n">
        <v>4331.96</v>
      </c>
      <c r="E8" s="35" t="n">
        <v>23257.99</v>
      </c>
      <c r="F8" s="35" t="n">
        <v>12486</v>
      </c>
      <c r="G8" s="35" t="n">
        <v>1602.56</v>
      </c>
      <c r="H8" s="35" t="n">
        <v>431.33</v>
      </c>
      <c r="I8" s="35" t="n">
        <v>3.8</v>
      </c>
      <c r="J8" s="35" t="n">
        <v>0.5</v>
      </c>
      <c r="K8" s="35" t="n">
        <v>1.93</v>
      </c>
      <c r="L8" s="35" t="n">
        <v>776.08</v>
      </c>
      <c r="M8" s="35" t="n">
        <v>7709.43</v>
      </c>
      <c r="N8" s="35" t="n">
        <v>2788</v>
      </c>
      <c r="O8" s="35" t="inlineStr">
        <is>
          <t>[x]</t>
        </is>
      </c>
      <c r="P8" s="35" t="n">
        <v>78450.511</v>
      </c>
      <c r="Q8" s="31">
        <f>FALSE()</f>
        <v/>
      </c>
    </row>
    <row r="9" ht="15" customHeight="1" s="22">
      <c r="A9" s="31" t="n">
        <v>2001</v>
      </c>
      <c r="B9" s="31" t="n">
        <v>1</v>
      </c>
      <c r="C9" s="35" t="n">
        <v>25519.25</v>
      </c>
      <c r="D9" s="35" t="n">
        <v>4325.4</v>
      </c>
      <c r="E9" s="35" t="n">
        <v>24277.96</v>
      </c>
      <c r="F9" s="35" t="n">
        <v>12486</v>
      </c>
      <c r="G9" s="35" t="n">
        <v>1628.7</v>
      </c>
      <c r="H9" s="35" t="n">
        <v>489.54</v>
      </c>
      <c r="I9" s="35" t="n">
        <v>3.8</v>
      </c>
      <c r="J9" s="35" t="n">
        <v>0.5</v>
      </c>
      <c r="K9" s="35" t="n">
        <v>2.75</v>
      </c>
      <c r="L9" s="35" t="n">
        <v>799.09</v>
      </c>
      <c r="M9" s="35" t="n">
        <v>7761.38</v>
      </c>
      <c r="N9" s="35" t="n">
        <v>2788</v>
      </c>
      <c r="O9" s="35" t="inlineStr">
        <is>
          <t>[x]</t>
        </is>
      </c>
      <c r="P9" s="35" t="n">
        <v>79677.87</v>
      </c>
      <c r="Q9" s="31">
        <f>FALSE()</f>
        <v/>
      </c>
    </row>
    <row r="10" ht="15" customHeight="1" s="22">
      <c r="A10" s="31" t="n">
        <v>2001</v>
      </c>
      <c r="B10" s="31" t="n">
        <v>2</v>
      </c>
      <c r="C10" s="35" t="n">
        <v>25519.25</v>
      </c>
      <c r="D10" s="35" t="n">
        <v>4325.4</v>
      </c>
      <c r="E10" s="35" t="n">
        <v>24277.96</v>
      </c>
      <c r="F10" s="35" t="n">
        <v>12486</v>
      </c>
      <c r="G10" s="35" t="n">
        <v>1628.7</v>
      </c>
      <c r="H10" s="35" t="n">
        <v>489.54</v>
      </c>
      <c r="I10" s="35" t="n">
        <v>3.8</v>
      </c>
      <c r="J10" s="35" t="n">
        <v>0.5</v>
      </c>
      <c r="K10" s="35" t="n">
        <v>2.75</v>
      </c>
      <c r="L10" s="35" t="n">
        <v>799.09</v>
      </c>
      <c r="M10" s="35" t="n">
        <v>7761.38</v>
      </c>
      <c r="N10" s="35" t="n">
        <v>2788</v>
      </c>
      <c r="O10" s="35" t="inlineStr">
        <is>
          <t>[x]</t>
        </is>
      </c>
      <c r="P10" s="35" t="n">
        <v>79677.87</v>
      </c>
      <c r="Q10" s="31">
        <f>FALSE()</f>
        <v/>
      </c>
    </row>
    <row r="11" ht="15" customHeight="1" s="22">
      <c r="A11" s="31" t="n">
        <v>2001</v>
      </c>
      <c r="B11" s="31" t="n">
        <v>3</v>
      </c>
      <c r="C11" s="35" t="n">
        <v>25519.25</v>
      </c>
      <c r="D11" s="35" t="n">
        <v>4325.4</v>
      </c>
      <c r="E11" s="35" t="n">
        <v>24277.96</v>
      </c>
      <c r="F11" s="35" t="n">
        <v>12486</v>
      </c>
      <c r="G11" s="35" t="n">
        <v>1628.7</v>
      </c>
      <c r="H11" s="35" t="n">
        <v>489.54</v>
      </c>
      <c r="I11" s="35" t="n">
        <v>3.8</v>
      </c>
      <c r="J11" s="35" t="n">
        <v>0.5</v>
      </c>
      <c r="K11" s="35" t="n">
        <v>2.75</v>
      </c>
      <c r="L11" s="35" t="n">
        <v>799.09</v>
      </c>
      <c r="M11" s="35" t="n">
        <v>7761.38</v>
      </c>
      <c r="N11" s="35" t="n">
        <v>2788</v>
      </c>
      <c r="O11" s="35" t="inlineStr">
        <is>
          <t>[x]</t>
        </is>
      </c>
      <c r="P11" s="35" t="n">
        <v>79677.87</v>
      </c>
      <c r="Q11" s="31">
        <f>FALSE()</f>
        <v/>
      </c>
    </row>
    <row r="12" ht="15" customHeight="1" s="22">
      <c r="A12" s="31" t="n">
        <v>2001</v>
      </c>
      <c r="B12" s="31" t="n">
        <v>4</v>
      </c>
      <c r="C12" s="35" t="n">
        <v>25519.25</v>
      </c>
      <c r="D12" s="35" t="n">
        <v>4325.4</v>
      </c>
      <c r="E12" s="35" t="n">
        <v>24277.96</v>
      </c>
      <c r="F12" s="35" t="n">
        <v>12486</v>
      </c>
      <c r="G12" s="35" t="n">
        <v>1628.7</v>
      </c>
      <c r="H12" s="35" t="n">
        <v>489.54</v>
      </c>
      <c r="I12" s="35" t="n">
        <v>3.8</v>
      </c>
      <c r="J12" s="35" t="n">
        <v>0.5</v>
      </c>
      <c r="K12" s="35" t="n">
        <v>2.75</v>
      </c>
      <c r="L12" s="35" t="n">
        <v>799.09</v>
      </c>
      <c r="M12" s="35" t="n">
        <v>7761.38</v>
      </c>
      <c r="N12" s="35" t="n">
        <v>2788</v>
      </c>
      <c r="O12" s="35" t="inlineStr">
        <is>
          <t>[x]</t>
        </is>
      </c>
      <c r="P12" s="35" t="n">
        <v>79677.87</v>
      </c>
      <c r="Q12" s="31">
        <f>FALSE()</f>
        <v/>
      </c>
    </row>
    <row r="13" ht="15" customHeight="1" s="22">
      <c r="A13" s="31" t="n">
        <v>2002</v>
      </c>
      <c r="B13" s="31" t="n">
        <v>1</v>
      </c>
      <c r="C13" s="35" t="n">
        <v>23126.44</v>
      </c>
      <c r="D13" s="35" t="n">
        <v>3657.07</v>
      </c>
      <c r="E13" s="35" t="n">
        <v>24577.31</v>
      </c>
      <c r="F13" s="35" t="n">
        <v>12240</v>
      </c>
      <c r="G13" s="35" t="n">
        <v>1583.05</v>
      </c>
      <c r="H13" s="35" t="n">
        <v>530.64</v>
      </c>
      <c r="I13" s="35" t="n">
        <v>3.8</v>
      </c>
      <c r="J13" s="35" t="n">
        <v>0.5</v>
      </c>
      <c r="K13" s="35" t="n">
        <v>4.14</v>
      </c>
      <c r="L13" s="35" t="n">
        <v>880.52</v>
      </c>
      <c r="M13" s="35" t="n">
        <v>7738.78</v>
      </c>
      <c r="N13" s="35" t="n">
        <v>2788</v>
      </c>
      <c r="O13" s="35" t="inlineStr">
        <is>
          <t>[x]</t>
        </is>
      </c>
      <c r="P13" s="35" t="n">
        <v>76704.8189470771</v>
      </c>
      <c r="Q13" s="31">
        <f>FALSE()</f>
        <v/>
      </c>
    </row>
    <row r="14" ht="15" customHeight="1" s="22">
      <c r="A14" s="31" t="n">
        <v>2002</v>
      </c>
      <c r="B14" s="31" t="n">
        <v>2</v>
      </c>
      <c r="C14" s="35" t="n">
        <v>23126.44</v>
      </c>
      <c r="D14" s="35" t="n">
        <v>3657.07</v>
      </c>
      <c r="E14" s="35" t="n">
        <v>24577.31</v>
      </c>
      <c r="F14" s="35" t="n">
        <v>12240</v>
      </c>
      <c r="G14" s="35" t="n">
        <v>1583.05</v>
      </c>
      <c r="H14" s="35" t="n">
        <v>530.64</v>
      </c>
      <c r="I14" s="35" t="n">
        <v>3.8</v>
      </c>
      <c r="J14" s="35" t="n">
        <v>0.5</v>
      </c>
      <c r="K14" s="35" t="n">
        <v>4.14</v>
      </c>
      <c r="L14" s="35" t="n">
        <v>880.52</v>
      </c>
      <c r="M14" s="35" t="n">
        <v>7738.78</v>
      </c>
      <c r="N14" s="35" t="n">
        <v>2788</v>
      </c>
      <c r="O14" s="35" t="inlineStr">
        <is>
          <t>[x]</t>
        </is>
      </c>
      <c r="P14" s="35" t="n">
        <v>76704.8189470771</v>
      </c>
      <c r="Q14" s="31">
        <f>FALSE()</f>
        <v/>
      </c>
    </row>
    <row r="15" ht="15" customHeight="1" s="22">
      <c r="A15" s="31" t="n">
        <v>2002</v>
      </c>
      <c r="B15" s="31" t="n">
        <v>3</v>
      </c>
      <c r="C15" s="35" t="n">
        <v>23126.44</v>
      </c>
      <c r="D15" s="35" t="n">
        <v>3657.07</v>
      </c>
      <c r="E15" s="35" t="n">
        <v>24577.31</v>
      </c>
      <c r="F15" s="35" t="n">
        <v>12240</v>
      </c>
      <c r="G15" s="35" t="n">
        <v>1583.05</v>
      </c>
      <c r="H15" s="35" t="n">
        <v>530.64</v>
      </c>
      <c r="I15" s="35" t="n">
        <v>3.8</v>
      </c>
      <c r="J15" s="35" t="n">
        <v>0.5</v>
      </c>
      <c r="K15" s="35" t="n">
        <v>4.14</v>
      </c>
      <c r="L15" s="35" t="n">
        <v>880.52</v>
      </c>
      <c r="M15" s="35" t="n">
        <v>7738.78</v>
      </c>
      <c r="N15" s="35" t="n">
        <v>2788</v>
      </c>
      <c r="O15" s="35" t="inlineStr">
        <is>
          <t>[x]</t>
        </is>
      </c>
      <c r="P15" s="35" t="n">
        <v>76704.8189470771</v>
      </c>
      <c r="Q15" s="31">
        <f>FALSE()</f>
        <v/>
      </c>
    </row>
    <row r="16" ht="15" customHeight="1" s="22">
      <c r="A16" s="31" t="n">
        <v>2002</v>
      </c>
      <c r="B16" s="31" t="n">
        <v>4</v>
      </c>
      <c r="C16" s="35" t="n">
        <v>23126.44</v>
      </c>
      <c r="D16" s="35" t="n">
        <v>3657.07</v>
      </c>
      <c r="E16" s="35" t="n">
        <v>24577.31</v>
      </c>
      <c r="F16" s="35" t="n">
        <v>12240</v>
      </c>
      <c r="G16" s="35" t="n">
        <v>1583.05</v>
      </c>
      <c r="H16" s="35" t="n">
        <v>530.64</v>
      </c>
      <c r="I16" s="35" t="n">
        <v>3.8</v>
      </c>
      <c r="J16" s="35" t="n">
        <v>0.5</v>
      </c>
      <c r="K16" s="35" t="n">
        <v>4.14</v>
      </c>
      <c r="L16" s="35" t="n">
        <v>880.52</v>
      </c>
      <c r="M16" s="35" t="n">
        <v>7738.78</v>
      </c>
      <c r="N16" s="35" t="n">
        <v>2788</v>
      </c>
      <c r="O16" s="35" t="inlineStr">
        <is>
          <t>[x]</t>
        </is>
      </c>
      <c r="P16" s="35" t="n">
        <v>76704.8189470771</v>
      </c>
      <c r="Q16" s="31">
        <f>FALSE()</f>
        <v/>
      </c>
    </row>
    <row r="17" ht="15" customHeight="1" s="22">
      <c r="A17" s="31" t="n">
        <v>2003</v>
      </c>
      <c r="B17" s="31" t="n">
        <v>1</v>
      </c>
      <c r="C17" s="35" t="n">
        <v>23218.27</v>
      </c>
      <c r="D17" s="35" t="n">
        <v>3890.32</v>
      </c>
      <c r="E17" s="35" t="n">
        <v>26046.59</v>
      </c>
      <c r="F17" s="35" t="n">
        <v>11852</v>
      </c>
      <c r="G17" s="35" t="n">
        <v>1484.5</v>
      </c>
      <c r="H17" s="35" t="n">
        <v>678.38</v>
      </c>
      <c r="I17" s="35" t="n">
        <v>63.8</v>
      </c>
      <c r="J17" s="35" t="n">
        <v>0.5</v>
      </c>
      <c r="K17" s="35" t="n">
        <v>6</v>
      </c>
      <c r="L17" s="35" t="n">
        <v>1053.26</v>
      </c>
      <c r="M17" s="35" t="n">
        <v>7692.27</v>
      </c>
      <c r="N17" s="35" t="n">
        <v>2788</v>
      </c>
      <c r="O17" s="35" t="inlineStr">
        <is>
          <t>[x]</t>
        </is>
      </c>
      <c r="P17" s="35" t="n">
        <v>78262.63946599999</v>
      </c>
      <c r="Q17" s="31">
        <f>FALSE()</f>
        <v/>
      </c>
    </row>
    <row r="18" ht="15" customHeight="1" s="22">
      <c r="A18" s="31" t="n">
        <v>2003</v>
      </c>
      <c r="B18" s="31" t="n">
        <v>2</v>
      </c>
      <c r="C18" s="35" t="n">
        <v>23218.27</v>
      </c>
      <c r="D18" s="35" t="n">
        <v>3890.32</v>
      </c>
      <c r="E18" s="35" t="n">
        <v>26046.59</v>
      </c>
      <c r="F18" s="35" t="n">
        <v>11852</v>
      </c>
      <c r="G18" s="35" t="n">
        <v>1484.5</v>
      </c>
      <c r="H18" s="35" t="n">
        <v>678.38</v>
      </c>
      <c r="I18" s="35" t="n">
        <v>63.8</v>
      </c>
      <c r="J18" s="35" t="n">
        <v>0.5</v>
      </c>
      <c r="K18" s="35" t="n">
        <v>6</v>
      </c>
      <c r="L18" s="35" t="n">
        <v>1053.26</v>
      </c>
      <c r="M18" s="35" t="n">
        <v>7692.27</v>
      </c>
      <c r="N18" s="35" t="n">
        <v>2788</v>
      </c>
      <c r="O18" s="35" t="inlineStr">
        <is>
          <t>[x]</t>
        </is>
      </c>
      <c r="P18" s="35" t="n">
        <v>78262.63946599999</v>
      </c>
      <c r="Q18" s="31">
        <f>FALSE()</f>
        <v/>
      </c>
    </row>
    <row r="19" ht="15" customHeight="1" s="22">
      <c r="A19" s="31" t="n">
        <v>2003</v>
      </c>
      <c r="B19" s="31" t="n">
        <v>3</v>
      </c>
      <c r="C19" s="35" t="n">
        <v>23218.27</v>
      </c>
      <c r="D19" s="35" t="n">
        <v>3890.32</v>
      </c>
      <c r="E19" s="35" t="n">
        <v>26046.59</v>
      </c>
      <c r="F19" s="35" t="n">
        <v>11852</v>
      </c>
      <c r="G19" s="35" t="n">
        <v>1484.5</v>
      </c>
      <c r="H19" s="35" t="n">
        <v>678.38</v>
      </c>
      <c r="I19" s="35" t="n">
        <v>63.8</v>
      </c>
      <c r="J19" s="35" t="n">
        <v>0.5</v>
      </c>
      <c r="K19" s="35" t="n">
        <v>6</v>
      </c>
      <c r="L19" s="35" t="n">
        <v>1053.26</v>
      </c>
      <c r="M19" s="35" t="n">
        <v>7692.27</v>
      </c>
      <c r="N19" s="35" t="n">
        <v>2788</v>
      </c>
      <c r="O19" s="35" t="inlineStr">
        <is>
          <t>[x]</t>
        </is>
      </c>
      <c r="P19" s="35" t="n">
        <v>78262.63946599999</v>
      </c>
      <c r="Q19" s="31">
        <f>FALSE()</f>
        <v/>
      </c>
    </row>
    <row r="20" ht="15" customHeight="1" s="22">
      <c r="A20" s="31" t="n">
        <v>2003</v>
      </c>
      <c r="B20" s="31" t="n">
        <v>4</v>
      </c>
      <c r="C20" s="35" t="n">
        <v>23218.27</v>
      </c>
      <c r="D20" s="35" t="n">
        <v>3890.32</v>
      </c>
      <c r="E20" s="35" t="n">
        <v>26046.59</v>
      </c>
      <c r="F20" s="35" t="n">
        <v>11852</v>
      </c>
      <c r="G20" s="35" t="n">
        <v>1484.5</v>
      </c>
      <c r="H20" s="35" t="n">
        <v>678.38</v>
      </c>
      <c r="I20" s="35" t="n">
        <v>63.8</v>
      </c>
      <c r="J20" s="35" t="n">
        <v>0.5</v>
      </c>
      <c r="K20" s="35" t="n">
        <v>6</v>
      </c>
      <c r="L20" s="35" t="n">
        <v>1053.26</v>
      </c>
      <c r="M20" s="35" t="n">
        <v>7692.27</v>
      </c>
      <c r="N20" s="35" t="n">
        <v>2788</v>
      </c>
      <c r="O20" s="35" t="inlineStr">
        <is>
          <t>[x]</t>
        </is>
      </c>
      <c r="P20" s="35" t="n">
        <v>78262.63946599999</v>
      </c>
      <c r="Q20" s="31">
        <f>FALSE()</f>
        <v/>
      </c>
    </row>
    <row r="21" ht="15" customHeight="1" s="22">
      <c r="A21" s="31" t="n">
        <v>2004</v>
      </c>
      <c r="B21" s="31" t="n">
        <v>1</v>
      </c>
      <c r="C21" s="35" t="n">
        <v>23265.76</v>
      </c>
      <c r="D21" s="35" t="n">
        <v>4292.22</v>
      </c>
      <c r="E21" s="35" t="n">
        <v>26999.1</v>
      </c>
      <c r="F21" s="35" t="n">
        <v>11852</v>
      </c>
      <c r="G21" s="35" t="n">
        <v>1498.78</v>
      </c>
      <c r="H21" s="35" t="n">
        <v>809.36</v>
      </c>
      <c r="I21" s="35" t="n">
        <v>123.8</v>
      </c>
      <c r="J21" s="35" t="n">
        <v>0.5</v>
      </c>
      <c r="K21" s="35" t="n">
        <v>8.16</v>
      </c>
      <c r="L21" s="35" t="n">
        <v>1180.53</v>
      </c>
      <c r="M21" s="35" t="n">
        <v>7926.35</v>
      </c>
      <c r="N21" s="35" t="n">
        <v>2788</v>
      </c>
      <c r="O21" s="35" t="inlineStr">
        <is>
          <t>[x]</t>
        </is>
      </c>
      <c r="P21" s="35" t="n">
        <v>80114.398004</v>
      </c>
      <c r="Q21" s="31">
        <f>FALSE()</f>
        <v/>
      </c>
    </row>
    <row r="22" ht="15" customHeight="1" s="22">
      <c r="A22" s="31" t="n">
        <v>2004</v>
      </c>
      <c r="B22" s="31" t="n">
        <v>2</v>
      </c>
      <c r="C22" s="35" t="n">
        <v>23265.76</v>
      </c>
      <c r="D22" s="35" t="n">
        <v>4292.22</v>
      </c>
      <c r="E22" s="35" t="n">
        <v>26999.1</v>
      </c>
      <c r="F22" s="35" t="n">
        <v>11852</v>
      </c>
      <c r="G22" s="35" t="n">
        <v>1498.78</v>
      </c>
      <c r="H22" s="35" t="n">
        <v>809.36</v>
      </c>
      <c r="I22" s="35" t="n">
        <v>123.8</v>
      </c>
      <c r="J22" s="35" t="n">
        <v>0.5</v>
      </c>
      <c r="K22" s="35" t="n">
        <v>8.16</v>
      </c>
      <c r="L22" s="35" t="n">
        <v>1180.53</v>
      </c>
      <c r="M22" s="35" t="n">
        <v>7926.35</v>
      </c>
      <c r="N22" s="35" t="n">
        <v>2788</v>
      </c>
      <c r="O22" s="35" t="inlineStr">
        <is>
          <t>[x]</t>
        </is>
      </c>
      <c r="P22" s="35" t="n">
        <v>80114.398004</v>
      </c>
      <c r="Q22" s="31">
        <f>FALSE()</f>
        <v/>
      </c>
    </row>
    <row r="23" ht="15" customHeight="1" s="22">
      <c r="A23" s="31" t="n">
        <v>2004</v>
      </c>
      <c r="B23" s="31" t="n">
        <v>3</v>
      </c>
      <c r="C23" s="35" t="n">
        <v>23265.76</v>
      </c>
      <c r="D23" s="35" t="n">
        <v>4292.22</v>
      </c>
      <c r="E23" s="35" t="n">
        <v>26999.1</v>
      </c>
      <c r="F23" s="35" t="n">
        <v>11852</v>
      </c>
      <c r="G23" s="35" t="n">
        <v>1498.78</v>
      </c>
      <c r="H23" s="35" t="n">
        <v>809.36</v>
      </c>
      <c r="I23" s="35" t="n">
        <v>123.8</v>
      </c>
      <c r="J23" s="35" t="n">
        <v>0.5</v>
      </c>
      <c r="K23" s="35" t="n">
        <v>8.16</v>
      </c>
      <c r="L23" s="35" t="n">
        <v>1180.53</v>
      </c>
      <c r="M23" s="35" t="n">
        <v>7926.35</v>
      </c>
      <c r="N23" s="35" t="n">
        <v>2788</v>
      </c>
      <c r="O23" s="35" t="inlineStr">
        <is>
          <t>[x]</t>
        </is>
      </c>
      <c r="P23" s="35" t="n">
        <v>80114.398004</v>
      </c>
      <c r="Q23" s="31">
        <f>FALSE()</f>
        <v/>
      </c>
    </row>
    <row r="24" ht="15" customHeight="1" s="22">
      <c r="A24" s="31" t="n">
        <v>2004</v>
      </c>
      <c r="B24" s="31" t="n">
        <v>4</v>
      </c>
      <c r="C24" s="35" t="n">
        <v>23265.76</v>
      </c>
      <c r="D24" s="35" t="n">
        <v>4292.22</v>
      </c>
      <c r="E24" s="35" t="n">
        <v>26999.1</v>
      </c>
      <c r="F24" s="35" t="n">
        <v>11852</v>
      </c>
      <c r="G24" s="35" t="n">
        <v>1498.78</v>
      </c>
      <c r="H24" s="35" t="n">
        <v>809.36</v>
      </c>
      <c r="I24" s="35" t="n">
        <v>123.8</v>
      </c>
      <c r="J24" s="35" t="n">
        <v>0.5</v>
      </c>
      <c r="K24" s="35" t="n">
        <v>8.16</v>
      </c>
      <c r="L24" s="35" t="n">
        <v>1180.53</v>
      </c>
      <c r="M24" s="35" t="n">
        <v>7926.35</v>
      </c>
      <c r="N24" s="35" t="n">
        <v>2788</v>
      </c>
      <c r="O24" s="35" t="inlineStr">
        <is>
          <t>[x]</t>
        </is>
      </c>
      <c r="P24" s="35" t="n">
        <v>80114.398004</v>
      </c>
      <c r="Q24" s="31">
        <f>FALSE()</f>
        <v/>
      </c>
    </row>
    <row r="25" ht="15" customHeight="1" s="22">
      <c r="A25" s="31" t="n">
        <v>2005</v>
      </c>
      <c r="B25" s="31" t="n">
        <v>1</v>
      </c>
      <c r="C25" s="35" t="n">
        <v>23247.72</v>
      </c>
      <c r="D25" s="35" t="n">
        <v>4323.65</v>
      </c>
      <c r="E25" s="35" t="n">
        <v>27764.66</v>
      </c>
      <c r="F25" s="35" t="n">
        <v>11852</v>
      </c>
      <c r="G25" s="35" t="n">
        <v>1501.09</v>
      </c>
      <c r="H25" s="35" t="n">
        <v>1351.2</v>
      </c>
      <c r="I25" s="35" t="n">
        <v>213.8</v>
      </c>
      <c r="J25" s="35" t="n">
        <v>0.5</v>
      </c>
      <c r="K25" s="35" t="n">
        <v>10.9</v>
      </c>
      <c r="L25" s="35" t="n">
        <v>1293.59</v>
      </c>
      <c r="M25" s="35" t="n">
        <v>8025.52</v>
      </c>
      <c r="N25" s="35" t="n">
        <v>2788</v>
      </c>
      <c r="O25" s="35" t="inlineStr">
        <is>
          <t>[x]</t>
        </is>
      </c>
      <c r="P25" s="35" t="n">
        <v>81370.464194</v>
      </c>
      <c r="Q25" s="31">
        <f>FALSE()</f>
        <v/>
      </c>
    </row>
    <row r="26" ht="15" customHeight="1" s="22">
      <c r="A26" s="31" t="n">
        <v>2005</v>
      </c>
      <c r="B26" s="31" t="n">
        <v>2</v>
      </c>
      <c r="C26" s="35" t="n">
        <v>23247.72</v>
      </c>
      <c r="D26" s="35" t="n">
        <v>4323.65</v>
      </c>
      <c r="E26" s="35" t="n">
        <v>27764.66</v>
      </c>
      <c r="F26" s="35" t="n">
        <v>11852</v>
      </c>
      <c r="G26" s="35" t="n">
        <v>1501.09</v>
      </c>
      <c r="H26" s="35" t="n">
        <v>1351.2</v>
      </c>
      <c r="I26" s="35" t="n">
        <v>213.8</v>
      </c>
      <c r="J26" s="35" t="n">
        <v>0.5</v>
      </c>
      <c r="K26" s="35" t="n">
        <v>10.9</v>
      </c>
      <c r="L26" s="35" t="n">
        <v>1293.59</v>
      </c>
      <c r="M26" s="35" t="n">
        <v>8025.52</v>
      </c>
      <c r="N26" s="35" t="n">
        <v>2788</v>
      </c>
      <c r="O26" s="35" t="inlineStr">
        <is>
          <t>[x]</t>
        </is>
      </c>
      <c r="P26" s="35" t="n">
        <v>81370.464194</v>
      </c>
      <c r="Q26" s="31">
        <f>FALSE()</f>
        <v/>
      </c>
    </row>
    <row r="27" ht="15" customHeight="1" s="22">
      <c r="A27" s="31" t="n">
        <v>2005</v>
      </c>
      <c r="B27" s="31" t="n">
        <v>3</v>
      </c>
      <c r="C27" s="35" t="n">
        <v>23247.72</v>
      </c>
      <c r="D27" s="35" t="n">
        <v>4323.65</v>
      </c>
      <c r="E27" s="35" t="n">
        <v>27764.66</v>
      </c>
      <c r="F27" s="35" t="n">
        <v>11852</v>
      </c>
      <c r="G27" s="35" t="n">
        <v>1501.09</v>
      </c>
      <c r="H27" s="35" t="n">
        <v>1351.2</v>
      </c>
      <c r="I27" s="35" t="n">
        <v>213.8</v>
      </c>
      <c r="J27" s="35" t="n">
        <v>0.5</v>
      </c>
      <c r="K27" s="35" t="n">
        <v>10.9</v>
      </c>
      <c r="L27" s="35" t="n">
        <v>1293.59</v>
      </c>
      <c r="M27" s="35" t="n">
        <v>8025.52</v>
      </c>
      <c r="N27" s="35" t="n">
        <v>2788</v>
      </c>
      <c r="O27" s="35" t="inlineStr">
        <is>
          <t>[x]</t>
        </is>
      </c>
      <c r="P27" s="35" t="n">
        <v>81370.464194</v>
      </c>
      <c r="Q27" s="31">
        <f>FALSE()</f>
        <v/>
      </c>
    </row>
    <row r="28" ht="15" customHeight="1" s="22">
      <c r="A28" s="31" t="n">
        <v>2005</v>
      </c>
      <c r="B28" s="31" t="n">
        <v>4</v>
      </c>
      <c r="C28" s="35" t="n">
        <v>23247.72</v>
      </c>
      <c r="D28" s="35" t="n">
        <v>4323.65</v>
      </c>
      <c r="E28" s="35" t="n">
        <v>27764.66</v>
      </c>
      <c r="F28" s="35" t="n">
        <v>11852</v>
      </c>
      <c r="G28" s="35" t="n">
        <v>1501.09</v>
      </c>
      <c r="H28" s="35" t="n">
        <v>1351.2</v>
      </c>
      <c r="I28" s="35" t="n">
        <v>213.8</v>
      </c>
      <c r="J28" s="35" t="n">
        <v>0.5</v>
      </c>
      <c r="K28" s="35" t="n">
        <v>10.9</v>
      </c>
      <c r="L28" s="35" t="n">
        <v>1293.59</v>
      </c>
      <c r="M28" s="35" t="n">
        <v>8025.52</v>
      </c>
      <c r="N28" s="35" t="n">
        <v>2788</v>
      </c>
      <c r="O28" s="35" t="inlineStr">
        <is>
          <t>[x]</t>
        </is>
      </c>
      <c r="P28" s="35" t="n">
        <v>81370.464194</v>
      </c>
      <c r="Q28" s="31">
        <f>FALSE()</f>
        <v/>
      </c>
    </row>
    <row r="29" ht="15" customHeight="1" s="22">
      <c r="A29" s="31" t="n">
        <v>2006</v>
      </c>
      <c r="B29" s="31" t="n">
        <v>1</v>
      </c>
      <c r="C29" s="35" t="n">
        <v>23513.14</v>
      </c>
      <c r="D29" s="35" t="n">
        <v>4958.58</v>
      </c>
      <c r="E29" s="35" t="n">
        <v>28061.32</v>
      </c>
      <c r="F29" s="35" t="n">
        <v>10969</v>
      </c>
      <c r="G29" s="35" t="n">
        <v>1514.75</v>
      </c>
      <c r="H29" s="35" t="n">
        <v>1650.72</v>
      </c>
      <c r="I29" s="35" t="n">
        <v>303.8</v>
      </c>
      <c r="J29" s="35" t="n">
        <v>0.5</v>
      </c>
      <c r="K29" s="35" t="n">
        <v>14.26</v>
      </c>
      <c r="L29" s="35" t="n">
        <v>1371.03</v>
      </c>
      <c r="M29" s="35" t="n">
        <v>8543.25</v>
      </c>
      <c r="N29" s="35" t="n">
        <v>2726</v>
      </c>
      <c r="O29" s="35" t="inlineStr">
        <is>
          <t>[x]</t>
        </is>
      </c>
      <c r="P29" s="35" t="n">
        <v>82402.30887199999</v>
      </c>
      <c r="Q29" s="31">
        <f>FALSE()</f>
        <v/>
      </c>
    </row>
    <row r="30" ht="15" customHeight="1" s="22">
      <c r="A30" s="31" t="n">
        <v>2006</v>
      </c>
      <c r="B30" s="31" t="n">
        <v>2</v>
      </c>
      <c r="C30" s="35" t="n">
        <v>23513.14</v>
      </c>
      <c r="D30" s="35" t="n">
        <v>4958.58</v>
      </c>
      <c r="E30" s="35" t="n">
        <v>28061.32</v>
      </c>
      <c r="F30" s="35" t="n">
        <v>10969</v>
      </c>
      <c r="G30" s="35" t="n">
        <v>1514.75</v>
      </c>
      <c r="H30" s="35" t="n">
        <v>1650.72</v>
      </c>
      <c r="I30" s="35" t="n">
        <v>303.8</v>
      </c>
      <c r="J30" s="35" t="n">
        <v>0.5</v>
      </c>
      <c r="K30" s="35" t="n">
        <v>14.26</v>
      </c>
      <c r="L30" s="35" t="n">
        <v>1371.03</v>
      </c>
      <c r="M30" s="35" t="n">
        <v>8543.25</v>
      </c>
      <c r="N30" s="35" t="n">
        <v>2726</v>
      </c>
      <c r="O30" s="35" t="inlineStr">
        <is>
          <t>[x]</t>
        </is>
      </c>
      <c r="P30" s="35" t="n">
        <v>82402.30887199999</v>
      </c>
      <c r="Q30" s="31">
        <f>FALSE()</f>
        <v/>
      </c>
    </row>
    <row r="31" ht="15" customHeight="1" s="22">
      <c r="A31" s="31" t="n">
        <v>2006</v>
      </c>
      <c r="B31" s="31" t="n">
        <v>3</v>
      </c>
      <c r="C31" s="35" t="n">
        <v>23513.14</v>
      </c>
      <c r="D31" s="35" t="n">
        <v>4958.58</v>
      </c>
      <c r="E31" s="35" t="n">
        <v>28061.32</v>
      </c>
      <c r="F31" s="35" t="n">
        <v>10969</v>
      </c>
      <c r="G31" s="35" t="n">
        <v>1514.75</v>
      </c>
      <c r="H31" s="35" t="n">
        <v>1650.72</v>
      </c>
      <c r="I31" s="35" t="n">
        <v>303.8</v>
      </c>
      <c r="J31" s="35" t="n">
        <v>0.5</v>
      </c>
      <c r="K31" s="35" t="n">
        <v>14.26</v>
      </c>
      <c r="L31" s="35" t="n">
        <v>1371.03</v>
      </c>
      <c r="M31" s="35" t="n">
        <v>8543.25</v>
      </c>
      <c r="N31" s="35" t="n">
        <v>2726</v>
      </c>
      <c r="O31" s="35" t="inlineStr">
        <is>
          <t>[x]</t>
        </is>
      </c>
      <c r="P31" s="35" t="n">
        <v>82402.30887199999</v>
      </c>
      <c r="Q31" s="31">
        <f>FALSE()</f>
        <v/>
      </c>
    </row>
    <row r="32" ht="15" customHeight="1" s="22">
      <c r="A32" s="31" t="n">
        <v>2006</v>
      </c>
      <c r="B32" s="31" t="n">
        <v>4</v>
      </c>
      <c r="C32" s="35" t="n">
        <v>23513.14</v>
      </c>
      <c r="D32" s="35" t="n">
        <v>4958.58</v>
      </c>
      <c r="E32" s="35" t="n">
        <v>28061.32</v>
      </c>
      <c r="F32" s="35" t="n">
        <v>10969</v>
      </c>
      <c r="G32" s="35" t="n">
        <v>1514.75</v>
      </c>
      <c r="H32" s="35" t="n">
        <v>1650.72</v>
      </c>
      <c r="I32" s="35" t="n">
        <v>303.8</v>
      </c>
      <c r="J32" s="35" t="n">
        <v>0.5</v>
      </c>
      <c r="K32" s="35" t="n">
        <v>14.26</v>
      </c>
      <c r="L32" s="35" t="n">
        <v>1371.03</v>
      </c>
      <c r="M32" s="35" t="n">
        <v>8543.25</v>
      </c>
      <c r="N32" s="35" t="n">
        <v>2726</v>
      </c>
      <c r="O32" s="35" t="inlineStr">
        <is>
          <t>[x]</t>
        </is>
      </c>
      <c r="P32" s="35" t="n">
        <v>82402.30887199999</v>
      </c>
      <c r="Q32" s="31">
        <f>FALSE()</f>
        <v/>
      </c>
    </row>
    <row r="33" ht="15" customHeight="1" s="22">
      <c r="A33" s="31" t="n">
        <v>2007</v>
      </c>
      <c r="B33" s="31" t="n">
        <v>1</v>
      </c>
      <c r="C33" s="35" t="n">
        <v>23618.91</v>
      </c>
      <c r="D33" s="35" t="n">
        <v>4938.35</v>
      </c>
      <c r="E33" s="35" t="n">
        <v>28375.7</v>
      </c>
      <c r="F33" s="35" t="n">
        <v>10979</v>
      </c>
      <c r="G33" s="35" t="n">
        <v>1521.6</v>
      </c>
      <c r="H33" s="35" t="n">
        <v>2083.38</v>
      </c>
      <c r="I33" s="35" t="n">
        <v>393.8</v>
      </c>
      <c r="J33" s="35" t="n">
        <v>0.5</v>
      </c>
      <c r="K33" s="35" t="n">
        <v>18.1</v>
      </c>
      <c r="L33" s="35" t="n">
        <v>1521.82</v>
      </c>
      <c r="M33" s="35" t="n">
        <v>8099.79</v>
      </c>
      <c r="N33" s="35" t="n">
        <v>2744</v>
      </c>
      <c r="O33" s="35" t="inlineStr">
        <is>
          <t>[x]</t>
        </is>
      </c>
      <c r="P33" s="35" t="n">
        <v>82741.3075359661</v>
      </c>
      <c r="Q33" s="31">
        <f>FALSE()</f>
        <v/>
      </c>
    </row>
    <row r="34" ht="15" customHeight="1" s="22">
      <c r="A34" s="31" t="n">
        <v>2007</v>
      </c>
      <c r="B34" s="31" t="n">
        <v>2</v>
      </c>
      <c r="C34" s="35" t="n">
        <v>23618.91</v>
      </c>
      <c r="D34" s="35" t="n">
        <v>4938.35</v>
      </c>
      <c r="E34" s="35" t="n">
        <v>28375.7</v>
      </c>
      <c r="F34" s="35" t="n">
        <v>10979</v>
      </c>
      <c r="G34" s="35" t="n">
        <v>1521.6</v>
      </c>
      <c r="H34" s="35" t="n">
        <v>2083.38</v>
      </c>
      <c r="I34" s="35" t="n">
        <v>393.8</v>
      </c>
      <c r="J34" s="35" t="n">
        <v>0.5</v>
      </c>
      <c r="K34" s="35" t="n">
        <v>18.1</v>
      </c>
      <c r="L34" s="35" t="n">
        <v>1521.82</v>
      </c>
      <c r="M34" s="35" t="n">
        <v>8099.79</v>
      </c>
      <c r="N34" s="35" t="n">
        <v>2744</v>
      </c>
      <c r="O34" s="35" t="inlineStr">
        <is>
          <t>[x]</t>
        </is>
      </c>
      <c r="P34" s="35" t="n">
        <v>82741.3075359661</v>
      </c>
      <c r="Q34" s="31">
        <f>FALSE()</f>
        <v/>
      </c>
    </row>
    <row r="35" ht="15" customHeight="1" s="22">
      <c r="A35" s="31" t="n">
        <v>2007</v>
      </c>
      <c r="B35" s="31" t="n">
        <v>3</v>
      </c>
      <c r="C35" s="35" t="n">
        <v>23618.91</v>
      </c>
      <c r="D35" s="35" t="n">
        <v>4938.35</v>
      </c>
      <c r="E35" s="35" t="n">
        <v>28375.7</v>
      </c>
      <c r="F35" s="35" t="n">
        <v>10979</v>
      </c>
      <c r="G35" s="35" t="n">
        <v>1521.6</v>
      </c>
      <c r="H35" s="35" t="n">
        <v>2083.38</v>
      </c>
      <c r="I35" s="35" t="n">
        <v>393.8</v>
      </c>
      <c r="J35" s="35" t="n">
        <v>0.5</v>
      </c>
      <c r="K35" s="35" t="n">
        <v>18.1</v>
      </c>
      <c r="L35" s="35" t="n">
        <v>1521.82</v>
      </c>
      <c r="M35" s="35" t="n">
        <v>8099.79</v>
      </c>
      <c r="N35" s="35" t="n">
        <v>2744</v>
      </c>
      <c r="O35" s="35" t="inlineStr">
        <is>
          <t>[x]</t>
        </is>
      </c>
      <c r="P35" s="35" t="n">
        <v>82741.3075359661</v>
      </c>
      <c r="Q35" s="31">
        <f>FALSE()</f>
        <v/>
      </c>
    </row>
    <row r="36" ht="15" customHeight="1" s="22">
      <c r="A36" s="31" t="n">
        <v>2007</v>
      </c>
      <c r="B36" s="31" t="n">
        <v>4</v>
      </c>
      <c r="C36" s="35" t="n">
        <v>23618.91</v>
      </c>
      <c r="D36" s="35" t="n">
        <v>4938.35</v>
      </c>
      <c r="E36" s="35" t="n">
        <v>28375.7</v>
      </c>
      <c r="F36" s="35" t="n">
        <v>10979</v>
      </c>
      <c r="G36" s="35" t="n">
        <v>1521.6</v>
      </c>
      <c r="H36" s="35" t="n">
        <v>2083.38</v>
      </c>
      <c r="I36" s="35" t="n">
        <v>393.8</v>
      </c>
      <c r="J36" s="35" t="n">
        <v>0.5</v>
      </c>
      <c r="K36" s="35" t="n">
        <v>18.1</v>
      </c>
      <c r="L36" s="35" t="n">
        <v>1521.82</v>
      </c>
      <c r="M36" s="35" t="n">
        <v>8099.79</v>
      </c>
      <c r="N36" s="35" t="n">
        <v>2744</v>
      </c>
      <c r="O36" s="35" t="inlineStr">
        <is>
          <t>[x]</t>
        </is>
      </c>
      <c r="P36" s="35" t="n">
        <v>82741.3075359661</v>
      </c>
      <c r="Q36" s="31">
        <f>FALSE()</f>
        <v/>
      </c>
    </row>
    <row r="37" ht="15" customHeight="1" s="22">
      <c r="A37" s="31" t="n">
        <v>2008</v>
      </c>
      <c r="B37" s="31" t="n">
        <v>1</v>
      </c>
      <c r="C37" s="35" t="n">
        <v>23675.45</v>
      </c>
      <c r="D37" s="35" t="n">
        <v>4955.42</v>
      </c>
      <c r="E37" s="35" t="n">
        <v>30061.57</v>
      </c>
      <c r="F37" s="35" t="n">
        <v>10979</v>
      </c>
      <c r="G37" s="35" t="n">
        <v>1623.45</v>
      </c>
      <c r="H37" s="35" t="n">
        <v>2850.31</v>
      </c>
      <c r="I37" s="35" t="n">
        <v>596.2</v>
      </c>
      <c r="J37" s="35" t="n">
        <v>0.5</v>
      </c>
      <c r="K37" s="35" t="n">
        <v>22.51</v>
      </c>
      <c r="L37" s="35" t="n">
        <v>1559.95</v>
      </c>
      <c r="M37" s="35" t="n">
        <v>6712.35</v>
      </c>
      <c r="N37" s="35" t="n">
        <v>2744</v>
      </c>
      <c r="O37" s="35" t="inlineStr">
        <is>
          <t>[x]</t>
        </is>
      </c>
      <c r="P37" s="35" t="n">
        <v>83697.1647399229</v>
      </c>
      <c r="Q37" s="31">
        <f>FALSE()</f>
        <v/>
      </c>
    </row>
    <row r="38" ht="15" customHeight="1" s="22">
      <c r="A38" s="31" t="n">
        <v>2008</v>
      </c>
      <c r="B38" s="31" t="n">
        <v>2</v>
      </c>
      <c r="C38" s="35" t="n">
        <v>23675.45</v>
      </c>
      <c r="D38" s="35" t="n">
        <v>4955.42</v>
      </c>
      <c r="E38" s="35" t="n">
        <v>30061.57</v>
      </c>
      <c r="F38" s="35" t="n">
        <v>10979</v>
      </c>
      <c r="G38" s="35" t="n">
        <v>1623.45</v>
      </c>
      <c r="H38" s="35" t="n">
        <v>2850.31</v>
      </c>
      <c r="I38" s="35" t="n">
        <v>596.2</v>
      </c>
      <c r="J38" s="35" t="n">
        <v>0.5</v>
      </c>
      <c r="K38" s="35" t="n">
        <v>22.51</v>
      </c>
      <c r="L38" s="35" t="n">
        <v>1559.95</v>
      </c>
      <c r="M38" s="35" t="n">
        <v>6712.35</v>
      </c>
      <c r="N38" s="35" t="n">
        <v>2744</v>
      </c>
      <c r="O38" s="35" t="inlineStr">
        <is>
          <t>[x]</t>
        </is>
      </c>
      <c r="P38" s="35" t="n">
        <v>83697.1647399229</v>
      </c>
      <c r="Q38" s="31">
        <f>FALSE()</f>
        <v/>
      </c>
    </row>
    <row r="39" ht="15" customHeight="1" s="22">
      <c r="A39" s="31" t="n">
        <v>2008</v>
      </c>
      <c r="B39" s="31" t="n">
        <v>3</v>
      </c>
      <c r="C39" s="35" t="n">
        <v>23675.45</v>
      </c>
      <c r="D39" s="35" t="n">
        <v>4955.42</v>
      </c>
      <c r="E39" s="35" t="n">
        <v>30061.57</v>
      </c>
      <c r="F39" s="35" t="n">
        <v>10979</v>
      </c>
      <c r="G39" s="35" t="n">
        <v>1623.45</v>
      </c>
      <c r="H39" s="35" t="n">
        <v>2850.31</v>
      </c>
      <c r="I39" s="35" t="n">
        <v>596.2</v>
      </c>
      <c r="J39" s="35" t="n">
        <v>0.5</v>
      </c>
      <c r="K39" s="35" t="n">
        <v>22.51</v>
      </c>
      <c r="L39" s="35" t="n">
        <v>1559.95</v>
      </c>
      <c r="M39" s="35" t="n">
        <v>6712.35</v>
      </c>
      <c r="N39" s="35" t="n">
        <v>2744</v>
      </c>
      <c r="O39" s="35" t="inlineStr">
        <is>
          <t>[x]</t>
        </is>
      </c>
      <c r="P39" s="35" t="n">
        <v>83697.1647399229</v>
      </c>
      <c r="Q39" s="31">
        <f>FALSE()</f>
        <v/>
      </c>
    </row>
    <row r="40" ht="15" customHeight="1" s="22">
      <c r="A40" s="31" t="n">
        <v>2008</v>
      </c>
      <c r="B40" s="31" t="n">
        <v>4</v>
      </c>
      <c r="C40" s="35" t="n">
        <v>23675.45</v>
      </c>
      <c r="D40" s="35" t="n">
        <v>4955.42</v>
      </c>
      <c r="E40" s="35" t="n">
        <v>30061.57</v>
      </c>
      <c r="F40" s="35" t="n">
        <v>10979</v>
      </c>
      <c r="G40" s="35" t="n">
        <v>1623.45</v>
      </c>
      <c r="H40" s="35" t="n">
        <v>2850.31</v>
      </c>
      <c r="I40" s="35" t="n">
        <v>596.2</v>
      </c>
      <c r="J40" s="35" t="n">
        <v>0.5</v>
      </c>
      <c r="K40" s="35" t="n">
        <v>22.51</v>
      </c>
      <c r="L40" s="35" t="n">
        <v>1559.95</v>
      </c>
      <c r="M40" s="35" t="n">
        <v>6712.35</v>
      </c>
      <c r="N40" s="35" t="n">
        <v>2744</v>
      </c>
      <c r="O40" s="35" t="inlineStr">
        <is>
          <t>[x]</t>
        </is>
      </c>
      <c r="P40" s="35" t="n">
        <v>83697.1647399229</v>
      </c>
      <c r="Q40" s="31">
        <f>FALSE()</f>
        <v/>
      </c>
    </row>
    <row r="41" ht="15" customHeight="1" s="22">
      <c r="A41" s="31" t="n">
        <v>2009</v>
      </c>
      <c r="B41" s="31" t="n">
        <v>1</v>
      </c>
      <c r="C41" s="35" t="n">
        <v>23678.12</v>
      </c>
      <c r="D41" s="35" t="n">
        <v>5128.41</v>
      </c>
      <c r="E41" s="35" t="n">
        <v>30580.5</v>
      </c>
      <c r="F41" s="35" t="n">
        <v>10858</v>
      </c>
      <c r="G41" s="35" t="n">
        <v>1634.32</v>
      </c>
      <c r="H41" s="35" t="n">
        <v>3468.37</v>
      </c>
      <c r="I41" s="35" t="n">
        <v>951.2</v>
      </c>
      <c r="J41" s="35" t="n">
        <v>2.45</v>
      </c>
      <c r="K41" s="35" t="n">
        <v>26.5</v>
      </c>
      <c r="L41" s="35" t="n">
        <v>1724.01</v>
      </c>
      <c r="M41" s="35" t="n">
        <v>6682.26</v>
      </c>
      <c r="N41" s="35" t="n">
        <v>2744</v>
      </c>
      <c r="O41" s="35" t="inlineStr">
        <is>
          <t>[x]</t>
        </is>
      </c>
      <c r="P41" s="35" t="n">
        <v>84830.85673406121</v>
      </c>
      <c r="Q41" s="31">
        <f>FALSE()</f>
        <v/>
      </c>
    </row>
    <row r="42" ht="15" customHeight="1" s="22">
      <c r="A42" s="31" t="n">
        <v>2009</v>
      </c>
      <c r="B42" s="31" t="n">
        <v>2</v>
      </c>
      <c r="C42" s="35" t="n">
        <v>23678.12</v>
      </c>
      <c r="D42" s="35" t="n">
        <v>5128.41</v>
      </c>
      <c r="E42" s="35" t="n">
        <v>30580.5</v>
      </c>
      <c r="F42" s="35" t="n">
        <v>10858</v>
      </c>
      <c r="G42" s="35" t="n">
        <v>1634.32</v>
      </c>
      <c r="H42" s="35" t="n">
        <v>3468.37</v>
      </c>
      <c r="I42" s="35" t="n">
        <v>951.2</v>
      </c>
      <c r="J42" s="35" t="n">
        <v>2.45</v>
      </c>
      <c r="K42" s="35" t="n">
        <v>26.5</v>
      </c>
      <c r="L42" s="35" t="n">
        <v>1724.01</v>
      </c>
      <c r="M42" s="35" t="n">
        <v>6682.26</v>
      </c>
      <c r="N42" s="35" t="n">
        <v>2744</v>
      </c>
      <c r="O42" s="35" t="inlineStr">
        <is>
          <t>[x]</t>
        </is>
      </c>
      <c r="P42" s="35" t="n">
        <v>84830.85673406121</v>
      </c>
      <c r="Q42" s="31">
        <f>FALSE()</f>
        <v/>
      </c>
    </row>
    <row r="43" ht="15" customHeight="1" s="22">
      <c r="A43" s="31" t="n">
        <v>2009</v>
      </c>
      <c r="B43" s="31" t="n">
        <v>3</v>
      </c>
      <c r="C43" s="35" t="n">
        <v>23678.12</v>
      </c>
      <c r="D43" s="35" t="n">
        <v>5128.41</v>
      </c>
      <c r="E43" s="35" t="n">
        <v>30580.5</v>
      </c>
      <c r="F43" s="35" t="n">
        <v>10858</v>
      </c>
      <c r="G43" s="35" t="n">
        <v>1634.32</v>
      </c>
      <c r="H43" s="35" t="n">
        <v>3468.37</v>
      </c>
      <c r="I43" s="35" t="n">
        <v>951.2</v>
      </c>
      <c r="J43" s="35" t="n">
        <v>2.45</v>
      </c>
      <c r="K43" s="35" t="n">
        <v>26.5</v>
      </c>
      <c r="L43" s="35" t="n">
        <v>1724.01</v>
      </c>
      <c r="M43" s="35" t="n">
        <v>6682.26</v>
      </c>
      <c r="N43" s="35" t="n">
        <v>2744</v>
      </c>
      <c r="O43" s="35" t="inlineStr">
        <is>
          <t>[x]</t>
        </is>
      </c>
      <c r="P43" s="35" t="n">
        <v>84830.85673406121</v>
      </c>
      <c r="Q43" s="31">
        <f>FALSE()</f>
        <v/>
      </c>
    </row>
    <row r="44" ht="15" customHeight="1" s="22">
      <c r="A44" s="31" t="n">
        <v>2009</v>
      </c>
      <c r="B44" s="31" t="n">
        <v>4</v>
      </c>
      <c r="C44" s="35" t="n">
        <v>23678.12</v>
      </c>
      <c r="D44" s="35" t="n">
        <v>5128.41</v>
      </c>
      <c r="E44" s="35" t="n">
        <v>30580.5</v>
      </c>
      <c r="F44" s="35" t="n">
        <v>10858</v>
      </c>
      <c r="G44" s="35" t="n">
        <v>1634.32</v>
      </c>
      <c r="H44" s="35" t="n">
        <v>3468.37</v>
      </c>
      <c r="I44" s="35" t="n">
        <v>951.2</v>
      </c>
      <c r="J44" s="35" t="n">
        <v>2.45</v>
      </c>
      <c r="K44" s="35" t="n">
        <v>26.5</v>
      </c>
      <c r="L44" s="35" t="n">
        <v>1724.01</v>
      </c>
      <c r="M44" s="35" t="n">
        <v>6682.26</v>
      </c>
      <c r="N44" s="35" t="n">
        <v>2744</v>
      </c>
      <c r="O44" s="35" t="inlineStr">
        <is>
          <t>[x]</t>
        </is>
      </c>
      <c r="P44" s="35" t="n">
        <v>84830.85673406121</v>
      </c>
      <c r="Q44" s="31">
        <f>FALSE()</f>
        <v/>
      </c>
    </row>
    <row r="45" ht="15" customHeight="1" s="22">
      <c r="A45" s="31" t="n">
        <v>2010</v>
      </c>
      <c r="B45" s="31" t="n">
        <v>1</v>
      </c>
      <c r="C45" s="35" t="n">
        <v>23682.21</v>
      </c>
      <c r="D45" s="35" t="n">
        <v>5168.21</v>
      </c>
      <c r="E45" s="35" t="n">
        <v>35563.66</v>
      </c>
      <c r="F45" s="35" t="n">
        <v>10865</v>
      </c>
      <c r="G45" s="35" t="n">
        <v>1646.44</v>
      </c>
      <c r="H45" s="35" t="n">
        <v>4079.78</v>
      </c>
      <c r="I45" s="35" t="n">
        <v>1341.45</v>
      </c>
      <c r="J45" s="35" t="n">
        <v>3.75</v>
      </c>
      <c r="K45" s="35" t="n">
        <v>95.05</v>
      </c>
      <c r="L45" s="35" t="n">
        <v>1887.68</v>
      </c>
      <c r="M45" s="35" t="n">
        <v>6606.49</v>
      </c>
      <c r="N45" s="35" t="n">
        <v>2744</v>
      </c>
      <c r="O45" s="35" t="inlineStr">
        <is>
          <t>[x]</t>
        </is>
      </c>
      <c r="P45" s="35" t="n">
        <v>90393.3078596163</v>
      </c>
      <c r="Q45" s="31">
        <f>FALSE()</f>
        <v/>
      </c>
    </row>
    <row r="46" ht="15" customHeight="1" s="22">
      <c r="A46" s="31" t="n">
        <v>2010</v>
      </c>
      <c r="B46" s="31" t="n">
        <v>2</v>
      </c>
      <c r="C46" s="35" t="n">
        <v>23682.21</v>
      </c>
      <c r="D46" s="35" t="n">
        <v>5168.21</v>
      </c>
      <c r="E46" s="35" t="n">
        <v>35563.66</v>
      </c>
      <c r="F46" s="35" t="n">
        <v>10865</v>
      </c>
      <c r="G46" s="35" t="n">
        <v>1646.44</v>
      </c>
      <c r="H46" s="35" t="n">
        <v>4079.78</v>
      </c>
      <c r="I46" s="35" t="n">
        <v>1341.45</v>
      </c>
      <c r="J46" s="35" t="n">
        <v>3.75</v>
      </c>
      <c r="K46" s="35" t="n">
        <v>95.05</v>
      </c>
      <c r="L46" s="35" t="n">
        <v>1887.68</v>
      </c>
      <c r="M46" s="35" t="n">
        <v>6606.49</v>
      </c>
      <c r="N46" s="35" t="n">
        <v>2744</v>
      </c>
      <c r="O46" s="35" t="inlineStr">
        <is>
          <t>[x]</t>
        </is>
      </c>
      <c r="P46" s="35" t="n">
        <v>90393.3078596163</v>
      </c>
      <c r="Q46" s="31">
        <f>FALSE()</f>
        <v/>
      </c>
    </row>
    <row r="47" ht="15" customHeight="1" s="22">
      <c r="A47" s="31" t="n">
        <v>2010</v>
      </c>
      <c r="B47" s="31" t="n">
        <v>3</v>
      </c>
      <c r="C47" s="35" t="n">
        <v>23682.21</v>
      </c>
      <c r="D47" s="35" t="n">
        <v>5168.21</v>
      </c>
      <c r="E47" s="35" t="n">
        <v>35563.66</v>
      </c>
      <c r="F47" s="35" t="n">
        <v>10865</v>
      </c>
      <c r="G47" s="35" t="n">
        <v>1646.44</v>
      </c>
      <c r="H47" s="35" t="n">
        <v>4079.78</v>
      </c>
      <c r="I47" s="35" t="n">
        <v>1341.45</v>
      </c>
      <c r="J47" s="35" t="n">
        <v>3.75</v>
      </c>
      <c r="K47" s="35" t="n">
        <v>95.05</v>
      </c>
      <c r="L47" s="35" t="n">
        <v>1887.68</v>
      </c>
      <c r="M47" s="35" t="n">
        <v>6606.49</v>
      </c>
      <c r="N47" s="35" t="n">
        <v>2744</v>
      </c>
      <c r="O47" s="35" t="inlineStr">
        <is>
          <t>[x]</t>
        </is>
      </c>
      <c r="P47" s="35" t="n">
        <v>90393.3078596163</v>
      </c>
      <c r="Q47" s="31">
        <f>FALSE()</f>
        <v/>
      </c>
    </row>
    <row r="48" ht="15" customHeight="1" s="22">
      <c r="A48" s="31" t="n">
        <v>2010</v>
      </c>
      <c r="B48" s="31" t="n">
        <v>4</v>
      </c>
      <c r="C48" s="35" t="n">
        <v>23682.21</v>
      </c>
      <c r="D48" s="35" t="n">
        <v>5168.21</v>
      </c>
      <c r="E48" s="35" t="n">
        <v>35563.66</v>
      </c>
      <c r="F48" s="35" t="n">
        <v>10865</v>
      </c>
      <c r="G48" s="35" t="n">
        <v>1646.44</v>
      </c>
      <c r="H48" s="35" t="n">
        <v>4079.78</v>
      </c>
      <c r="I48" s="35" t="n">
        <v>1341.45</v>
      </c>
      <c r="J48" s="35" t="n">
        <v>3.75</v>
      </c>
      <c r="K48" s="35" t="n">
        <v>95.05</v>
      </c>
      <c r="L48" s="35" t="n">
        <v>1887.68</v>
      </c>
      <c r="M48" s="35" t="n">
        <v>6606.49</v>
      </c>
      <c r="N48" s="35" t="n">
        <v>2744</v>
      </c>
      <c r="O48" s="35" t="inlineStr">
        <is>
          <t>[x]</t>
        </is>
      </c>
      <c r="P48" s="35" t="n">
        <v>90393.3078596163</v>
      </c>
      <c r="Q48" s="31">
        <f>FALSE()</f>
        <v/>
      </c>
    </row>
    <row r="49" ht="15" customHeight="1" s="22">
      <c r="A49" s="31" t="n">
        <v>2011</v>
      </c>
      <c r="B49" s="31" t="n">
        <v>1</v>
      </c>
      <c r="C49" s="35" t="n">
        <v>23665.37</v>
      </c>
      <c r="D49" s="35" t="n">
        <v>4994.42</v>
      </c>
      <c r="E49" s="35" t="n">
        <v>33997.54</v>
      </c>
      <c r="F49" s="35" t="n">
        <v>10663</v>
      </c>
      <c r="G49" s="35" t="n">
        <v>1678.31</v>
      </c>
      <c r="H49" s="35" t="n">
        <v>4758.03</v>
      </c>
      <c r="I49" s="35" t="n">
        <v>1838.25</v>
      </c>
      <c r="J49" s="35" t="n">
        <v>3.86</v>
      </c>
      <c r="K49" s="35" t="n">
        <v>1000.23</v>
      </c>
      <c r="L49" s="35" t="n">
        <v>2874.38</v>
      </c>
      <c r="M49" s="35" t="n">
        <v>5607.55</v>
      </c>
      <c r="N49" s="35" t="n">
        <v>2744</v>
      </c>
      <c r="O49" s="35" t="inlineStr">
        <is>
          <t>[x]</t>
        </is>
      </c>
      <c r="P49" s="35" t="n">
        <v>89104.5805645182</v>
      </c>
      <c r="Q49" s="31">
        <f>FALSE()</f>
        <v/>
      </c>
    </row>
    <row r="50" ht="15" customHeight="1" s="22">
      <c r="A50" s="31" t="n">
        <v>2011</v>
      </c>
      <c r="B50" s="31" t="n">
        <v>2</v>
      </c>
      <c r="C50" s="35" t="n">
        <v>23665.37</v>
      </c>
      <c r="D50" s="35" t="n">
        <v>4994.42</v>
      </c>
      <c r="E50" s="35" t="n">
        <v>33997.54</v>
      </c>
      <c r="F50" s="35" t="n">
        <v>10663</v>
      </c>
      <c r="G50" s="35" t="n">
        <v>1678.31</v>
      </c>
      <c r="H50" s="35" t="n">
        <v>4758.03</v>
      </c>
      <c r="I50" s="35" t="n">
        <v>1838.25</v>
      </c>
      <c r="J50" s="35" t="n">
        <v>3.86</v>
      </c>
      <c r="K50" s="35" t="n">
        <v>1000.23</v>
      </c>
      <c r="L50" s="35" t="n">
        <v>2874.38</v>
      </c>
      <c r="M50" s="35" t="n">
        <v>5607.55</v>
      </c>
      <c r="N50" s="35" t="n">
        <v>2744</v>
      </c>
      <c r="O50" s="35" t="inlineStr">
        <is>
          <t>[x]</t>
        </is>
      </c>
      <c r="P50" s="35" t="n">
        <v>89104.5805645182</v>
      </c>
      <c r="Q50" s="31">
        <f>FALSE()</f>
        <v/>
      </c>
    </row>
    <row r="51" ht="15" customHeight="1" s="22">
      <c r="A51" s="31" t="n">
        <v>2011</v>
      </c>
      <c r="B51" s="31" t="n">
        <v>3</v>
      </c>
      <c r="C51" s="35" t="n">
        <v>23665.37</v>
      </c>
      <c r="D51" s="35" t="n">
        <v>4994.42</v>
      </c>
      <c r="E51" s="35" t="n">
        <v>33997.54</v>
      </c>
      <c r="F51" s="35" t="n">
        <v>10663</v>
      </c>
      <c r="G51" s="35" t="n">
        <v>1678.31</v>
      </c>
      <c r="H51" s="35" t="n">
        <v>4758.03</v>
      </c>
      <c r="I51" s="35" t="n">
        <v>1838.25</v>
      </c>
      <c r="J51" s="35" t="n">
        <v>3.86</v>
      </c>
      <c r="K51" s="35" t="n">
        <v>1000.23</v>
      </c>
      <c r="L51" s="35" t="n">
        <v>2874.38</v>
      </c>
      <c r="M51" s="35" t="n">
        <v>5607.55</v>
      </c>
      <c r="N51" s="35" t="n">
        <v>2744</v>
      </c>
      <c r="O51" s="35" t="inlineStr">
        <is>
          <t>[x]</t>
        </is>
      </c>
      <c r="P51" s="35" t="n">
        <v>89104.5805645182</v>
      </c>
      <c r="Q51" s="31">
        <f>FALSE()</f>
        <v/>
      </c>
    </row>
    <row r="52" ht="15" customHeight="1" s="22">
      <c r="A52" s="31" t="n">
        <v>2011</v>
      </c>
      <c r="B52" s="31" t="n">
        <v>4</v>
      </c>
      <c r="C52" s="35" t="n">
        <v>23665.37</v>
      </c>
      <c r="D52" s="35" t="n">
        <v>4994.42</v>
      </c>
      <c r="E52" s="35" t="n">
        <v>33997.54</v>
      </c>
      <c r="F52" s="35" t="n">
        <v>10663</v>
      </c>
      <c r="G52" s="35" t="n">
        <v>1678.31</v>
      </c>
      <c r="H52" s="35" t="n">
        <v>4758.03</v>
      </c>
      <c r="I52" s="35" t="n">
        <v>1838.25</v>
      </c>
      <c r="J52" s="35" t="n">
        <v>3.86</v>
      </c>
      <c r="K52" s="35" t="n">
        <v>1000.23</v>
      </c>
      <c r="L52" s="35" t="n">
        <v>2874.38</v>
      </c>
      <c r="M52" s="35" t="n">
        <v>5607.55</v>
      </c>
      <c r="N52" s="35" t="n">
        <v>2744</v>
      </c>
      <c r="O52" s="35" t="inlineStr">
        <is>
          <t>[x]</t>
        </is>
      </c>
      <c r="P52" s="35" t="n">
        <v>89104.5805645182</v>
      </c>
      <c r="Q52" s="31">
        <f>FALSE()</f>
        <v/>
      </c>
    </row>
    <row r="53" ht="15" customHeight="1" s="22">
      <c r="A53" s="31" t="n">
        <v>2012</v>
      </c>
      <c r="B53" s="31" t="n">
        <v>1</v>
      </c>
      <c r="C53" s="35" t="n">
        <v>23661.17</v>
      </c>
      <c r="D53" s="35" t="n">
        <v>3629.9</v>
      </c>
      <c r="E53" s="35" t="n">
        <v>37031.89</v>
      </c>
      <c r="F53" s="35" t="n">
        <v>9946</v>
      </c>
      <c r="G53" s="35" t="n">
        <v>1692.75</v>
      </c>
      <c r="H53" s="35" t="n">
        <v>6034.97</v>
      </c>
      <c r="I53" s="35" t="n">
        <v>2995.45</v>
      </c>
      <c r="J53" s="35" t="n">
        <v>8.550000000000001</v>
      </c>
      <c r="K53" s="35" t="n">
        <v>1753.49</v>
      </c>
      <c r="L53" s="35" t="n">
        <v>2873.45</v>
      </c>
      <c r="M53" s="35" t="n">
        <v>3672.91</v>
      </c>
      <c r="N53" s="35" t="n">
        <v>2744</v>
      </c>
      <c r="O53" s="35" t="inlineStr">
        <is>
          <t>[x]</t>
        </is>
      </c>
      <c r="P53" s="35" t="n">
        <v>89299.5161043327</v>
      </c>
      <c r="Q53" s="31">
        <f>FALSE()</f>
        <v/>
      </c>
    </row>
    <row r="54" ht="15" customHeight="1" s="22">
      <c r="A54" s="31" t="n">
        <v>2012</v>
      </c>
      <c r="B54" s="31" t="n">
        <v>2</v>
      </c>
      <c r="C54" s="35" t="n">
        <v>23661.17</v>
      </c>
      <c r="D54" s="35" t="n">
        <v>3629.9</v>
      </c>
      <c r="E54" s="35" t="n">
        <v>37031.89</v>
      </c>
      <c r="F54" s="35" t="n">
        <v>9946</v>
      </c>
      <c r="G54" s="35" t="n">
        <v>1692.75</v>
      </c>
      <c r="H54" s="35" t="n">
        <v>6034.97</v>
      </c>
      <c r="I54" s="35" t="n">
        <v>2995.45</v>
      </c>
      <c r="J54" s="35" t="n">
        <v>8.550000000000001</v>
      </c>
      <c r="K54" s="35" t="n">
        <v>1753.49</v>
      </c>
      <c r="L54" s="35" t="n">
        <v>2873.45</v>
      </c>
      <c r="M54" s="35" t="n">
        <v>3672.91</v>
      </c>
      <c r="N54" s="35" t="n">
        <v>2744</v>
      </c>
      <c r="O54" s="35" t="inlineStr">
        <is>
          <t>[x]</t>
        </is>
      </c>
      <c r="P54" s="35" t="n">
        <v>89299.5161043327</v>
      </c>
      <c r="Q54" s="31">
        <f>FALSE()</f>
        <v/>
      </c>
    </row>
    <row r="55" ht="15" customHeight="1" s="22">
      <c r="A55" s="31" t="n">
        <v>2012</v>
      </c>
      <c r="B55" s="31" t="n">
        <v>3</v>
      </c>
      <c r="C55" s="35" t="n">
        <v>23661.17</v>
      </c>
      <c r="D55" s="35" t="n">
        <v>3629.9</v>
      </c>
      <c r="E55" s="35" t="n">
        <v>37031.89</v>
      </c>
      <c r="F55" s="35" t="n">
        <v>9946</v>
      </c>
      <c r="G55" s="35" t="n">
        <v>1692.75</v>
      </c>
      <c r="H55" s="35" t="n">
        <v>6034.97</v>
      </c>
      <c r="I55" s="35" t="n">
        <v>2995.45</v>
      </c>
      <c r="J55" s="35" t="n">
        <v>8.550000000000001</v>
      </c>
      <c r="K55" s="35" t="n">
        <v>1753.49</v>
      </c>
      <c r="L55" s="35" t="n">
        <v>2873.45</v>
      </c>
      <c r="M55" s="35" t="n">
        <v>3672.91</v>
      </c>
      <c r="N55" s="35" t="n">
        <v>2744</v>
      </c>
      <c r="O55" s="35" t="inlineStr">
        <is>
          <t>[x]</t>
        </is>
      </c>
      <c r="P55" s="35" t="n">
        <v>89299.5161043327</v>
      </c>
      <c r="Q55" s="31">
        <f>FALSE()</f>
        <v/>
      </c>
    </row>
    <row r="56" ht="15" customHeight="1" s="22">
      <c r="A56" s="31" t="n">
        <v>2012</v>
      </c>
      <c r="B56" s="31" t="n">
        <v>4</v>
      </c>
      <c r="C56" s="35" t="n">
        <v>23661.17</v>
      </c>
      <c r="D56" s="35" t="n">
        <v>3629.9</v>
      </c>
      <c r="E56" s="35" t="n">
        <v>37031.89</v>
      </c>
      <c r="F56" s="35" t="n">
        <v>9946</v>
      </c>
      <c r="G56" s="35" t="n">
        <v>1692.75</v>
      </c>
      <c r="H56" s="35" t="n">
        <v>6034.97</v>
      </c>
      <c r="I56" s="35" t="n">
        <v>2995.45</v>
      </c>
      <c r="J56" s="35" t="n">
        <v>8.550000000000001</v>
      </c>
      <c r="K56" s="35" t="n">
        <v>1753.49</v>
      </c>
      <c r="L56" s="35" t="n">
        <v>2873.45</v>
      </c>
      <c r="M56" s="35" t="n">
        <v>3672.91</v>
      </c>
      <c r="N56" s="35" t="n">
        <v>2744</v>
      </c>
      <c r="O56" s="35" t="inlineStr">
        <is>
          <t>[x]</t>
        </is>
      </c>
      <c r="P56" s="35" t="n">
        <v>89299.5161043327</v>
      </c>
      <c r="Q56" s="31">
        <f>FALSE()</f>
        <v/>
      </c>
    </row>
    <row r="57" ht="15" customHeight="1" s="22">
      <c r="A57" s="31" t="n">
        <v>2013</v>
      </c>
      <c r="B57" s="31" t="n">
        <v>1</v>
      </c>
      <c r="C57" s="35" t="n">
        <v>20618.9</v>
      </c>
      <c r="D57" s="35" t="n">
        <v>2700.08</v>
      </c>
      <c r="E57" s="35" t="n">
        <v>36718.63</v>
      </c>
      <c r="F57" s="35" t="n">
        <v>9906</v>
      </c>
      <c r="G57" s="35" t="n">
        <v>1708.71</v>
      </c>
      <c r="H57" s="35" t="n">
        <v>7586.32</v>
      </c>
      <c r="I57" s="35" t="n">
        <v>3695.95</v>
      </c>
      <c r="J57" s="35" t="n">
        <v>8.050000000000001</v>
      </c>
      <c r="K57" s="35" t="n">
        <v>2937.25</v>
      </c>
      <c r="L57" s="35" t="n">
        <v>3334.9</v>
      </c>
      <c r="M57" s="35" t="n">
        <v>1702.77</v>
      </c>
      <c r="N57" s="35" t="n">
        <v>2744</v>
      </c>
      <c r="O57" s="35" t="inlineStr">
        <is>
          <t>[x]</t>
        </is>
      </c>
      <c r="P57" s="35" t="n">
        <v>84640.59998707879</v>
      </c>
      <c r="Q57" s="31">
        <f>FALSE()</f>
        <v/>
      </c>
    </row>
    <row r="58" ht="15" customHeight="1" s="22">
      <c r="A58" s="31" t="n">
        <v>2013</v>
      </c>
      <c r="B58" s="31" t="n">
        <v>2</v>
      </c>
      <c r="C58" s="35" t="n">
        <v>20618.9</v>
      </c>
      <c r="D58" s="35" t="n">
        <v>2700.08</v>
      </c>
      <c r="E58" s="35" t="n">
        <v>36718.63</v>
      </c>
      <c r="F58" s="35" t="n">
        <v>9906</v>
      </c>
      <c r="G58" s="35" t="n">
        <v>1708.71</v>
      </c>
      <c r="H58" s="35" t="n">
        <v>7586.32</v>
      </c>
      <c r="I58" s="35" t="n">
        <v>3695.95</v>
      </c>
      <c r="J58" s="35" t="n">
        <v>8.050000000000001</v>
      </c>
      <c r="K58" s="35" t="n">
        <v>2937.25</v>
      </c>
      <c r="L58" s="35" t="n">
        <v>3334.9</v>
      </c>
      <c r="M58" s="35" t="n">
        <v>1702.77</v>
      </c>
      <c r="N58" s="35" t="n">
        <v>2744</v>
      </c>
      <c r="O58" s="35" t="inlineStr">
        <is>
          <t>[x]</t>
        </is>
      </c>
      <c r="P58" s="35" t="n">
        <v>84640.59998707879</v>
      </c>
      <c r="Q58" s="31">
        <f>FALSE()</f>
        <v/>
      </c>
    </row>
    <row r="59" ht="15" customHeight="1" s="22">
      <c r="A59" s="31" t="n">
        <v>2013</v>
      </c>
      <c r="B59" s="31" t="n">
        <v>3</v>
      </c>
      <c r="C59" s="35" t="n">
        <v>20618.9</v>
      </c>
      <c r="D59" s="35" t="n">
        <v>2700.08</v>
      </c>
      <c r="E59" s="35" t="n">
        <v>36718.63</v>
      </c>
      <c r="F59" s="35" t="n">
        <v>9906</v>
      </c>
      <c r="G59" s="35" t="n">
        <v>1708.71</v>
      </c>
      <c r="H59" s="35" t="n">
        <v>7586.32</v>
      </c>
      <c r="I59" s="35" t="n">
        <v>3695.95</v>
      </c>
      <c r="J59" s="35" t="n">
        <v>8.050000000000001</v>
      </c>
      <c r="K59" s="35" t="n">
        <v>2937.25</v>
      </c>
      <c r="L59" s="35" t="n">
        <v>3334.9</v>
      </c>
      <c r="M59" s="35" t="n">
        <v>1702.77</v>
      </c>
      <c r="N59" s="35" t="n">
        <v>2744</v>
      </c>
      <c r="O59" s="35" t="inlineStr">
        <is>
          <t>[x]</t>
        </is>
      </c>
      <c r="P59" s="35" t="n">
        <v>84640.59998707879</v>
      </c>
      <c r="Q59" s="31">
        <f>FALSE()</f>
        <v/>
      </c>
    </row>
    <row r="60" ht="15" customHeight="1" s="22">
      <c r="A60" s="31" t="n">
        <v>2013</v>
      </c>
      <c r="B60" s="31" t="n">
        <v>4</v>
      </c>
      <c r="C60" s="35" t="n">
        <v>20618.9</v>
      </c>
      <c r="D60" s="35" t="n">
        <v>2700.08</v>
      </c>
      <c r="E60" s="35" t="n">
        <v>36718.63</v>
      </c>
      <c r="F60" s="35" t="n">
        <v>9906</v>
      </c>
      <c r="G60" s="35" t="n">
        <v>1708.71</v>
      </c>
      <c r="H60" s="35" t="n">
        <v>7586.32</v>
      </c>
      <c r="I60" s="35" t="n">
        <v>3695.95</v>
      </c>
      <c r="J60" s="35" t="n">
        <v>8.050000000000001</v>
      </c>
      <c r="K60" s="35" t="n">
        <v>2937.25</v>
      </c>
      <c r="L60" s="35" t="n">
        <v>3334.9</v>
      </c>
      <c r="M60" s="35" t="n">
        <v>1702.77</v>
      </c>
      <c r="N60" s="35" t="n">
        <v>2744</v>
      </c>
      <c r="O60" s="35" t="inlineStr">
        <is>
          <t>[x]</t>
        </is>
      </c>
      <c r="P60" s="35" t="n">
        <v>84640.59998707879</v>
      </c>
      <c r="Q60" s="31">
        <f>FALSE()</f>
        <v/>
      </c>
    </row>
    <row r="61" ht="15" customHeight="1" s="22">
      <c r="A61" s="31" t="n">
        <v>2014</v>
      </c>
      <c r="B61" s="31" t="n">
        <v>1</v>
      </c>
      <c r="C61" s="35" t="n">
        <v>18764.98</v>
      </c>
      <c r="D61" s="35" t="n">
        <v>2669.8</v>
      </c>
      <c r="E61" s="35" t="n">
        <v>35733.44</v>
      </c>
      <c r="F61" s="35" t="n">
        <v>9937</v>
      </c>
      <c r="G61" s="35" t="n">
        <v>1729.35</v>
      </c>
      <c r="H61" s="35" t="n">
        <v>8572.65</v>
      </c>
      <c r="I61" s="35" t="n">
        <v>4501.3</v>
      </c>
      <c r="J61" s="35" t="n">
        <v>8.69</v>
      </c>
      <c r="K61" s="35" t="n">
        <v>5528.07</v>
      </c>
      <c r="L61" s="35" t="n">
        <v>4756.14</v>
      </c>
      <c r="M61" s="35" t="n">
        <v>1672.38</v>
      </c>
      <c r="N61" s="35" t="n">
        <v>2744</v>
      </c>
      <c r="O61" s="35" t="inlineStr">
        <is>
          <t>[x]</t>
        </is>
      </c>
      <c r="P61" s="35" t="n">
        <v>84411.7118343707</v>
      </c>
      <c r="Q61" s="31">
        <f>FALSE()</f>
        <v/>
      </c>
    </row>
    <row r="62" ht="15" customHeight="1" s="22">
      <c r="A62" s="31" t="n">
        <v>2014</v>
      </c>
      <c r="B62" s="31" t="n">
        <v>2</v>
      </c>
      <c r="C62" s="35" t="n">
        <v>18764.98</v>
      </c>
      <c r="D62" s="35" t="n">
        <v>2669.8</v>
      </c>
      <c r="E62" s="35" t="n">
        <v>35733.44</v>
      </c>
      <c r="F62" s="35" t="n">
        <v>9937</v>
      </c>
      <c r="G62" s="35" t="n">
        <v>1729.35</v>
      </c>
      <c r="H62" s="35" t="n">
        <v>8572.65</v>
      </c>
      <c r="I62" s="35" t="n">
        <v>4501.3</v>
      </c>
      <c r="J62" s="35" t="n">
        <v>8.69</v>
      </c>
      <c r="K62" s="35" t="n">
        <v>5528.07</v>
      </c>
      <c r="L62" s="35" t="n">
        <v>4756.14</v>
      </c>
      <c r="M62" s="35" t="n">
        <v>1672.38</v>
      </c>
      <c r="N62" s="35" t="n">
        <v>2744</v>
      </c>
      <c r="O62" s="35" t="inlineStr">
        <is>
          <t>[x]</t>
        </is>
      </c>
      <c r="P62" s="35" t="n">
        <v>84411.7118343707</v>
      </c>
      <c r="Q62" s="31">
        <f>FALSE()</f>
        <v/>
      </c>
    </row>
    <row r="63" ht="15" customHeight="1" s="22">
      <c r="A63" s="31" t="n">
        <v>2014</v>
      </c>
      <c r="B63" s="31" t="n">
        <v>3</v>
      </c>
      <c r="C63" s="35" t="n">
        <v>18764.98</v>
      </c>
      <c r="D63" s="35" t="n">
        <v>2669.8</v>
      </c>
      <c r="E63" s="35" t="n">
        <v>35733.44</v>
      </c>
      <c r="F63" s="35" t="n">
        <v>9937</v>
      </c>
      <c r="G63" s="35" t="n">
        <v>1729.35</v>
      </c>
      <c r="H63" s="35" t="n">
        <v>8572.65</v>
      </c>
      <c r="I63" s="35" t="n">
        <v>4501.3</v>
      </c>
      <c r="J63" s="35" t="n">
        <v>8.69</v>
      </c>
      <c r="K63" s="35" t="n">
        <v>5528.07</v>
      </c>
      <c r="L63" s="35" t="n">
        <v>4756.14</v>
      </c>
      <c r="M63" s="35" t="n">
        <v>1672.38</v>
      </c>
      <c r="N63" s="35" t="n">
        <v>2744</v>
      </c>
      <c r="O63" s="35" t="inlineStr">
        <is>
          <t>[x]</t>
        </is>
      </c>
      <c r="P63" s="35" t="n">
        <v>84411.7118343707</v>
      </c>
      <c r="Q63" s="31">
        <f>FALSE()</f>
        <v/>
      </c>
    </row>
    <row r="64" ht="15" customHeight="1" s="22">
      <c r="A64" s="31" t="n">
        <v>2014</v>
      </c>
      <c r="B64" s="31" t="n">
        <v>4</v>
      </c>
      <c r="C64" s="35" t="n">
        <v>18764.98</v>
      </c>
      <c r="D64" s="35" t="n">
        <v>2669.8</v>
      </c>
      <c r="E64" s="35" t="n">
        <v>35733.44</v>
      </c>
      <c r="F64" s="35" t="n">
        <v>9937</v>
      </c>
      <c r="G64" s="35" t="n">
        <v>1729.35</v>
      </c>
      <c r="H64" s="35" t="n">
        <v>8572.65</v>
      </c>
      <c r="I64" s="35" t="n">
        <v>4501.3</v>
      </c>
      <c r="J64" s="35" t="n">
        <v>8.69</v>
      </c>
      <c r="K64" s="35" t="n">
        <v>5528.07</v>
      </c>
      <c r="L64" s="35" t="n">
        <v>4756.14</v>
      </c>
      <c r="M64" s="35" t="n">
        <v>1672.38</v>
      </c>
      <c r="N64" s="35" t="n">
        <v>2744</v>
      </c>
      <c r="O64" s="35" t="inlineStr">
        <is>
          <t>[x]</t>
        </is>
      </c>
      <c r="P64" s="35" t="n">
        <v>84411.7118343707</v>
      </c>
      <c r="Q64" s="31">
        <f>FALSE()</f>
        <v/>
      </c>
    </row>
    <row r="65" ht="15" customHeight="1" s="22">
      <c r="A65" s="31" t="n">
        <v>2015</v>
      </c>
      <c r="B65" s="31" t="n">
        <v>1</v>
      </c>
      <c r="C65" s="35" t="n">
        <v>17555.83</v>
      </c>
      <c r="D65" s="35" t="n">
        <v>1393.3</v>
      </c>
      <c r="E65" s="35" t="n">
        <v>32476.93</v>
      </c>
      <c r="F65" s="35" t="n">
        <v>9261</v>
      </c>
      <c r="G65" s="35" t="n">
        <v>1776.98</v>
      </c>
      <c r="H65" s="35" t="n">
        <v>9212.23</v>
      </c>
      <c r="I65" s="35" t="n">
        <v>5093.4</v>
      </c>
      <c r="J65" s="35" t="n">
        <v>8.94</v>
      </c>
      <c r="K65" s="35" t="n">
        <v>9601.219999999999</v>
      </c>
      <c r="L65" s="35" t="n">
        <v>5090.15</v>
      </c>
      <c r="M65" s="35" t="n">
        <v>1545.92</v>
      </c>
      <c r="N65" s="35" t="n">
        <v>2744</v>
      </c>
      <c r="O65" s="35" t="inlineStr">
        <is>
          <t>[x]</t>
        </is>
      </c>
      <c r="P65" s="35" t="n">
        <v>79539.6466326564</v>
      </c>
      <c r="Q65" s="31">
        <f>FALSE()</f>
        <v/>
      </c>
    </row>
    <row r="66" ht="15" customHeight="1" s="22">
      <c r="A66" s="31" t="n">
        <v>2015</v>
      </c>
      <c r="B66" s="31" t="n">
        <v>2</v>
      </c>
      <c r="C66" s="35" t="n">
        <v>17555.83</v>
      </c>
      <c r="D66" s="35" t="n">
        <v>1393.3</v>
      </c>
      <c r="E66" s="35" t="n">
        <v>32476.93</v>
      </c>
      <c r="F66" s="35" t="n">
        <v>9261</v>
      </c>
      <c r="G66" s="35" t="n">
        <v>1776.98</v>
      </c>
      <c r="H66" s="35" t="n">
        <v>9212.23</v>
      </c>
      <c r="I66" s="35" t="n">
        <v>5093.4</v>
      </c>
      <c r="J66" s="35" t="n">
        <v>8.94</v>
      </c>
      <c r="K66" s="35" t="n">
        <v>9601.219999999999</v>
      </c>
      <c r="L66" s="35" t="n">
        <v>5090.15</v>
      </c>
      <c r="M66" s="35" t="n">
        <v>1545.92</v>
      </c>
      <c r="N66" s="35" t="n">
        <v>2744</v>
      </c>
      <c r="O66" s="35" t="inlineStr">
        <is>
          <t>[x]</t>
        </is>
      </c>
      <c r="P66" s="35" t="n">
        <v>79539.6466326564</v>
      </c>
      <c r="Q66" s="31">
        <f>FALSE()</f>
        <v/>
      </c>
    </row>
    <row r="67" ht="15" customHeight="1" s="22">
      <c r="A67" s="31" t="n">
        <v>2015</v>
      </c>
      <c r="B67" s="31" t="n">
        <v>3</v>
      </c>
      <c r="C67" s="35" t="n">
        <v>17555.83</v>
      </c>
      <c r="D67" s="35" t="n">
        <v>1393.3</v>
      </c>
      <c r="E67" s="35" t="n">
        <v>32476.93</v>
      </c>
      <c r="F67" s="35" t="n">
        <v>9261</v>
      </c>
      <c r="G67" s="35" t="n">
        <v>1776.98</v>
      </c>
      <c r="H67" s="35" t="n">
        <v>9212.23</v>
      </c>
      <c r="I67" s="35" t="n">
        <v>5093.4</v>
      </c>
      <c r="J67" s="35" t="n">
        <v>8.94</v>
      </c>
      <c r="K67" s="35" t="n">
        <v>9601.219999999999</v>
      </c>
      <c r="L67" s="35" t="n">
        <v>5090.15</v>
      </c>
      <c r="M67" s="35" t="n">
        <v>1545.92</v>
      </c>
      <c r="N67" s="35" t="n">
        <v>2744</v>
      </c>
      <c r="O67" s="35" t="inlineStr">
        <is>
          <t>[x]</t>
        </is>
      </c>
      <c r="P67" s="35" t="n">
        <v>79539.6466326564</v>
      </c>
      <c r="Q67" s="31">
        <f>FALSE()</f>
        <v/>
      </c>
    </row>
    <row r="68" ht="15" customHeight="1" s="22">
      <c r="A68" s="31" t="n">
        <v>2015</v>
      </c>
      <c r="B68" s="31" t="n">
        <v>4</v>
      </c>
      <c r="C68" s="35" t="n">
        <v>17555.83</v>
      </c>
      <c r="D68" s="35" t="n">
        <v>1393.3</v>
      </c>
      <c r="E68" s="35" t="n">
        <v>32476.93</v>
      </c>
      <c r="F68" s="35" t="n">
        <v>9261</v>
      </c>
      <c r="G68" s="35" t="n">
        <v>1776.98</v>
      </c>
      <c r="H68" s="35" t="n">
        <v>9212.23</v>
      </c>
      <c r="I68" s="35" t="n">
        <v>5093.4</v>
      </c>
      <c r="J68" s="35" t="n">
        <v>8.94</v>
      </c>
      <c r="K68" s="35" t="n">
        <v>9601.219999999999</v>
      </c>
      <c r="L68" s="35" t="n">
        <v>5090.15</v>
      </c>
      <c r="M68" s="35" t="n">
        <v>1545.92</v>
      </c>
      <c r="N68" s="35" t="n">
        <v>2744</v>
      </c>
      <c r="O68" s="35" t="inlineStr">
        <is>
          <t>[x]</t>
        </is>
      </c>
      <c r="P68" s="35" t="n">
        <v>79539.6466326564</v>
      </c>
      <c r="Q68" s="31">
        <f>FALSE()</f>
        <v/>
      </c>
    </row>
    <row r="69" ht="15" customHeight="1" s="22">
      <c r="A69" s="31" t="n">
        <v>2016</v>
      </c>
      <c r="B69" s="31" t="n">
        <v>1</v>
      </c>
      <c r="C69" s="35" t="n">
        <v>13698.52</v>
      </c>
      <c r="D69" s="35" t="n">
        <v>1285.46</v>
      </c>
      <c r="E69" s="35" t="n">
        <v>33248.4</v>
      </c>
      <c r="F69" s="35" t="n">
        <v>9261</v>
      </c>
      <c r="G69" s="35" t="n">
        <v>1832.52</v>
      </c>
      <c r="H69" s="35" t="n">
        <v>10832.53</v>
      </c>
      <c r="I69" s="35" t="n">
        <v>5293.4</v>
      </c>
      <c r="J69" s="35" t="n">
        <v>13.49</v>
      </c>
      <c r="K69" s="35" t="n">
        <v>11914.03</v>
      </c>
      <c r="L69" s="35" t="n">
        <v>5701.17</v>
      </c>
      <c r="M69" s="35" t="n">
        <v>1503.64</v>
      </c>
      <c r="N69" s="35" t="n">
        <v>2744</v>
      </c>
      <c r="O69" s="35" t="inlineStr">
        <is>
          <t>[x]</t>
        </is>
      </c>
      <c r="P69" s="35" t="n">
        <v>78110.47147579301</v>
      </c>
      <c r="Q69" s="31">
        <f>FALSE()</f>
        <v/>
      </c>
    </row>
    <row r="70" ht="15" customHeight="1" s="22">
      <c r="A70" s="31" t="n">
        <v>2016</v>
      </c>
      <c r="B70" s="31" t="n">
        <v>2</v>
      </c>
      <c r="C70" s="35" t="n">
        <v>13698.52</v>
      </c>
      <c r="D70" s="35" t="n">
        <v>1285.46</v>
      </c>
      <c r="E70" s="35" t="n">
        <v>33248.4</v>
      </c>
      <c r="F70" s="35" t="n">
        <v>9261</v>
      </c>
      <c r="G70" s="35" t="n">
        <v>1832.52</v>
      </c>
      <c r="H70" s="35" t="n">
        <v>10832.53</v>
      </c>
      <c r="I70" s="35" t="n">
        <v>5293.4</v>
      </c>
      <c r="J70" s="35" t="n">
        <v>13.49</v>
      </c>
      <c r="K70" s="35" t="n">
        <v>11914.03</v>
      </c>
      <c r="L70" s="35" t="n">
        <v>5701.17</v>
      </c>
      <c r="M70" s="35" t="n">
        <v>1503.64</v>
      </c>
      <c r="N70" s="35" t="n">
        <v>2744</v>
      </c>
      <c r="O70" s="35" t="inlineStr">
        <is>
          <t>[x]</t>
        </is>
      </c>
      <c r="P70" s="35" t="n">
        <v>78110.47147579301</v>
      </c>
      <c r="Q70" s="31">
        <f>FALSE()</f>
        <v/>
      </c>
    </row>
    <row r="71" ht="15" customHeight="1" s="22">
      <c r="A71" s="31" t="n">
        <v>2016</v>
      </c>
      <c r="B71" s="31" t="n">
        <v>3</v>
      </c>
      <c r="C71" s="35" t="n">
        <v>13698.52</v>
      </c>
      <c r="D71" s="35" t="n">
        <v>1285.46</v>
      </c>
      <c r="E71" s="35" t="n">
        <v>33248.4</v>
      </c>
      <c r="F71" s="35" t="n">
        <v>9261</v>
      </c>
      <c r="G71" s="35" t="n">
        <v>1832.52</v>
      </c>
      <c r="H71" s="35" t="n">
        <v>10832.53</v>
      </c>
      <c r="I71" s="35" t="n">
        <v>5293.4</v>
      </c>
      <c r="J71" s="35" t="n">
        <v>13.49</v>
      </c>
      <c r="K71" s="35" t="n">
        <v>11914.03</v>
      </c>
      <c r="L71" s="35" t="n">
        <v>5701.17</v>
      </c>
      <c r="M71" s="35" t="n">
        <v>1503.64</v>
      </c>
      <c r="N71" s="35" t="n">
        <v>2744</v>
      </c>
      <c r="O71" s="35" t="inlineStr">
        <is>
          <t>[x]</t>
        </is>
      </c>
      <c r="P71" s="35" t="n">
        <v>78110.47147579301</v>
      </c>
      <c r="Q71" s="31">
        <f>FALSE()</f>
        <v/>
      </c>
    </row>
    <row r="72" ht="15" customHeight="1" s="22">
      <c r="A72" s="31" t="n">
        <v>2016</v>
      </c>
      <c r="B72" s="31" t="n">
        <v>4</v>
      </c>
      <c r="C72" s="35" t="n">
        <v>13698.52</v>
      </c>
      <c r="D72" s="35" t="n">
        <v>1285.46</v>
      </c>
      <c r="E72" s="35" t="n">
        <v>33248.4</v>
      </c>
      <c r="F72" s="35" t="n">
        <v>9261</v>
      </c>
      <c r="G72" s="35" t="n">
        <v>1832.52</v>
      </c>
      <c r="H72" s="35" t="n">
        <v>10832.53</v>
      </c>
      <c r="I72" s="35" t="n">
        <v>5293.4</v>
      </c>
      <c r="J72" s="35" t="n">
        <v>13.49</v>
      </c>
      <c r="K72" s="35" t="n">
        <v>11914.03</v>
      </c>
      <c r="L72" s="35" t="n">
        <v>5701.17</v>
      </c>
      <c r="M72" s="35" t="n">
        <v>1503.64</v>
      </c>
      <c r="N72" s="35" t="n">
        <v>2744</v>
      </c>
      <c r="O72" s="35" t="inlineStr">
        <is>
          <t>[x]</t>
        </is>
      </c>
      <c r="P72" s="35" t="n">
        <v>78110.47147579301</v>
      </c>
      <c r="Q72" s="31">
        <f>FALSE()</f>
        <v/>
      </c>
    </row>
    <row r="73" ht="15" customHeight="1" s="22">
      <c r="A73" s="31" t="n">
        <v>2017</v>
      </c>
      <c r="B73" s="31" t="n">
        <v>1</v>
      </c>
      <c r="C73" s="35" t="n">
        <v>13363.45</v>
      </c>
      <c r="D73" s="35" t="n">
        <v>1206.23</v>
      </c>
      <c r="E73" s="35" t="n">
        <v>35045.56</v>
      </c>
      <c r="F73" s="35" t="n">
        <v>9261</v>
      </c>
      <c r="G73" s="35" t="n">
        <v>1869.64</v>
      </c>
      <c r="H73" s="35" t="n">
        <v>12597.15</v>
      </c>
      <c r="I73" s="35" t="n">
        <v>6987.85</v>
      </c>
      <c r="J73" s="35" t="n">
        <v>18.4</v>
      </c>
      <c r="K73" s="35" t="n">
        <v>12760.03</v>
      </c>
      <c r="L73" s="35" t="n">
        <v>6057.89</v>
      </c>
      <c r="M73" s="35" t="n">
        <v>1405.39</v>
      </c>
      <c r="N73" s="35" t="n">
        <v>2744</v>
      </c>
      <c r="O73" s="35" t="inlineStr">
        <is>
          <t>[x]</t>
        </is>
      </c>
      <c r="P73" s="35" t="n">
        <v>81299.4751605299</v>
      </c>
      <c r="Q73" s="31">
        <f>FALSE()</f>
        <v/>
      </c>
    </row>
    <row r="74" ht="15" customHeight="1" s="22">
      <c r="A74" s="31" t="n">
        <v>2017</v>
      </c>
      <c r="B74" s="31" t="n">
        <v>2</v>
      </c>
      <c r="C74" s="35" t="n">
        <v>13363.45</v>
      </c>
      <c r="D74" s="35" t="n">
        <v>1206.23</v>
      </c>
      <c r="E74" s="35" t="n">
        <v>35045.56</v>
      </c>
      <c r="F74" s="35" t="n">
        <v>9261</v>
      </c>
      <c r="G74" s="35" t="n">
        <v>1869.64</v>
      </c>
      <c r="H74" s="35" t="n">
        <v>12597.15</v>
      </c>
      <c r="I74" s="35" t="n">
        <v>6987.85</v>
      </c>
      <c r="J74" s="35" t="n">
        <v>18.4</v>
      </c>
      <c r="K74" s="35" t="n">
        <v>12760.03</v>
      </c>
      <c r="L74" s="35" t="n">
        <v>6057.89</v>
      </c>
      <c r="M74" s="35" t="n">
        <v>1405.39</v>
      </c>
      <c r="N74" s="35" t="n">
        <v>2744</v>
      </c>
      <c r="O74" s="35" t="inlineStr">
        <is>
          <t>[x]</t>
        </is>
      </c>
      <c r="P74" s="35" t="n">
        <v>81299.4751605299</v>
      </c>
      <c r="Q74" s="31">
        <f>FALSE()</f>
        <v/>
      </c>
    </row>
    <row r="75" ht="15" customHeight="1" s="22">
      <c r="A75" s="31" t="n">
        <v>2017</v>
      </c>
      <c r="B75" s="31" t="n">
        <v>3</v>
      </c>
      <c r="C75" s="35" t="n">
        <v>13363.45</v>
      </c>
      <c r="D75" s="35" t="n">
        <v>1206.23</v>
      </c>
      <c r="E75" s="35" t="n">
        <v>35045.56</v>
      </c>
      <c r="F75" s="35" t="n">
        <v>9261</v>
      </c>
      <c r="G75" s="35" t="n">
        <v>1869.64</v>
      </c>
      <c r="H75" s="35" t="n">
        <v>12597.15</v>
      </c>
      <c r="I75" s="35" t="n">
        <v>6987.85</v>
      </c>
      <c r="J75" s="35" t="n">
        <v>18.4</v>
      </c>
      <c r="K75" s="35" t="n">
        <v>12760.03</v>
      </c>
      <c r="L75" s="35" t="n">
        <v>6057.89</v>
      </c>
      <c r="M75" s="35" t="n">
        <v>1405.39</v>
      </c>
      <c r="N75" s="35" t="n">
        <v>2744</v>
      </c>
      <c r="O75" s="35" t="inlineStr">
        <is>
          <t>[x]</t>
        </is>
      </c>
      <c r="P75" s="35" t="n">
        <v>81299.4751605299</v>
      </c>
      <c r="Q75" s="31">
        <f>FALSE()</f>
        <v/>
      </c>
    </row>
    <row r="76" ht="15" customHeight="1" s="22">
      <c r="A76" s="31" t="n">
        <v>2017</v>
      </c>
      <c r="B76" s="31" t="n">
        <v>4</v>
      </c>
      <c r="C76" s="35" t="n">
        <v>13363.45</v>
      </c>
      <c r="D76" s="35" t="n">
        <v>1206.23</v>
      </c>
      <c r="E76" s="35" t="n">
        <v>35045.56</v>
      </c>
      <c r="F76" s="35" t="n">
        <v>9261</v>
      </c>
      <c r="G76" s="35" t="n">
        <v>1869.64</v>
      </c>
      <c r="H76" s="35" t="n">
        <v>12597.15</v>
      </c>
      <c r="I76" s="35" t="n">
        <v>6987.85</v>
      </c>
      <c r="J76" s="35" t="n">
        <v>18.4</v>
      </c>
      <c r="K76" s="35" t="n">
        <v>12760.03</v>
      </c>
      <c r="L76" s="35" t="n">
        <v>6057.89</v>
      </c>
      <c r="M76" s="35" t="n">
        <v>1405.39</v>
      </c>
      <c r="N76" s="35" t="n">
        <v>2744</v>
      </c>
      <c r="O76" s="35" t="inlineStr">
        <is>
          <t>[x]</t>
        </is>
      </c>
      <c r="P76" s="35" t="n">
        <v>81299.4751605299</v>
      </c>
      <c r="Q76" s="31">
        <f>FALSE()</f>
        <v/>
      </c>
    </row>
    <row r="77" ht="15" customHeight="1" s="22">
      <c r="A77" s="31" t="n">
        <v>2018</v>
      </c>
      <c r="B77" s="31" t="n">
        <v>1</v>
      </c>
      <c r="C77" s="35" t="n">
        <v>12336.8521</v>
      </c>
      <c r="D77" s="35" t="n">
        <v>1386.2043</v>
      </c>
      <c r="E77" s="35" t="n">
        <v>35616.4492</v>
      </c>
      <c r="F77" s="35" t="n">
        <v>9261</v>
      </c>
      <c r="G77" s="35" t="n">
        <v>1877.19</v>
      </c>
      <c r="H77" s="35" t="n">
        <v>13425.12</v>
      </c>
      <c r="I77" s="35" t="n">
        <v>8180.5</v>
      </c>
      <c r="J77" s="35" t="n">
        <v>20.4</v>
      </c>
      <c r="K77" s="35" t="n">
        <v>13059.07</v>
      </c>
      <c r="L77" s="35" t="n">
        <v>7510.5159</v>
      </c>
      <c r="M77" s="35" t="n">
        <v>934.7423</v>
      </c>
      <c r="N77" s="35" t="n">
        <v>2744</v>
      </c>
      <c r="O77" s="35" t="inlineStr">
        <is>
          <t>[x]</t>
        </is>
      </c>
      <c r="P77" s="35" t="n">
        <v>82929.0193</v>
      </c>
      <c r="Q77" s="31">
        <f>FALSE()</f>
        <v/>
      </c>
    </row>
    <row r="78" ht="15" customHeight="1" s="22">
      <c r="A78" s="31" t="n">
        <v>2018</v>
      </c>
      <c r="B78" s="31" t="n">
        <v>2</v>
      </c>
      <c r="C78" s="35" t="n">
        <v>12336.8521</v>
      </c>
      <c r="D78" s="35" t="n">
        <v>1386.2043</v>
      </c>
      <c r="E78" s="35" t="n">
        <v>35616.4492</v>
      </c>
      <c r="F78" s="35" t="n">
        <v>9261</v>
      </c>
      <c r="G78" s="35" t="n">
        <v>1877.19</v>
      </c>
      <c r="H78" s="35" t="n">
        <v>13425.12</v>
      </c>
      <c r="I78" s="35" t="n">
        <v>8180.5</v>
      </c>
      <c r="J78" s="35" t="n">
        <v>20.4</v>
      </c>
      <c r="K78" s="35" t="n">
        <v>13059.07</v>
      </c>
      <c r="L78" s="35" t="n">
        <v>7510.5159</v>
      </c>
      <c r="M78" s="35" t="n">
        <v>934.7423</v>
      </c>
      <c r="N78" s="35" t="n">
        <v>2744</v>
      </c>
      <c r="O78" s="35" t="inlineStr">
        <is>
          <t>[x]</t>
        </is>
      </c>
      <c r="P78" s="35" t="n">
        <v>82929.0193</v>
      </c>
      <c r="Q78" s="31">
        <f>FALSE()</f>
        <v/>
      </c>
    </row>
    <row r="79" ht="15" customHeight="1" s="22">
      <c r="A79" s="31" t="n">
        <v>2018</v>
      </c>
      <c r="B79" s="31" t="n">
        <v>3</v>
      </c>
      <c r="C79" s="35" t="n">
        <v>12336.8521</v>
      </c>
      <c r="D79" s="35" t="n">
        <v>1386.2043</v>
      </c>
      <c r="E79" s="35" t="n">
        <v>35616.4492</v>
      </c>
      <c r="F79" s="35" t="n">
        <v>9261</v>
      </c>
      <c r="G79" s="35" t="n">
        <v>1877.19</v>
      </c>
      <c r="H79" s="35" t="n">
        <v>13425.12</v>
      </c>
      <c r="I79" s="35" t="n">
        <v>8180.5</v>
      </c>
      <c r="J79" s="35" t="n">
        <v>20.4</v>
      </c>
      <c r="K79" s="35" t="n">
        <v>13059.07</v>
      </c>
      <c r="L79" s="35" t="n">
        <v>7510.5159</v>
      </c>
      <c r="M79" s="35" t="n">
        <v>934.7423</v>
      </c>
      <c r="N79" s="35" t="n">
        <v>2744</v>
      </c>
      <c r="O79" s="35" t="inlineStr">
        <is>
          <t>[x]</t>
        </is>
      </c>
      <c r="P79" s="35" t="n">
        <v>82929.0193</v>
      </c>
      <c r="Q79" s="31">
        <f>FALSE()</f>
        <v/>
      </c>
    </row>
    <row r="80" ht="15" customHeight="1" s="22">
      <c r="A80" s="31" t="n">
        <v>2018</v>
      </c>
      <c r="B80" s="31" t="n">
        <v>4</v>
      </c>
      <c r="C80" s="35" t="n">
        <v>12336.8521</v>
      </c>
      <c r="D80" s="35" t="n">
        <v>1386.2043</v>
      </c>
      <c r="E80" s="35" t="n">
        <v>35616.4492</v>
      </c>
      <c r="F80" s="35" t="n">
        <v>9261</v>
      </c>
      <c r="G80" s="35" t="n">
        <v>1877.19</v>
      </c>
      <c r="H80" s="35" t="n">
        <v>13425.12</v>
      </c>
      <c r="I80" s="35" t="n">
        <v>8180.5</v>
      </c>
      <c r="J80" s="35" t="n">
        <v>20.4</v>
      </c>
      <c r="K80" s="35" t="n">
        <v>13059.07</v>
      </c>
      <c r="L80" s="35" t="n">
        <v>7510.5159</v>
      </c>
      <c r="M80" s="35" t="n">
        <v>934.7423</v>
      </c>
      <c r="N80" s="35" t="n">
        <v>2744</v>
      </c>
      <c r="O80" s="35" t="inlineStr">
        <is>
          <t>[x]</t>
        </is>
      </c>
      <c r="P80" s="35" t="n">
        <v>82929.0193</v>
      </c>
      <c r="Q80" s="31">
        <f>FALSE()</f>
        <v/>
      </c>
    </row>
    <row r="81" ht="15" customHeight="1" s="22">
      <c r="A81" s="31" t="n">
        <v>2019</v>
      </c>
      <c r="B81" s="31" t="n">
        <v>1</v>
      </c>
      <c r="C81" s="35" t="n">
        <v>6817.4878</v>
      </c>
      <c r="D81" s="35" t="n">
        <v>1411.836</v>
      </c>
      <c r="E81" s="35" t="n">
        <v>34667.4586</v>
      </c>
      <c r="F81" s="35" t="n">
        <v>9261</v>
      </c>
      <c r="G81" s="35" t="n">
        <v>1879.87</v>
      </c>
      <c r="H81" s="35" t="n">
        <v>13998.81</v>
      </c>
      <c r="I81" s="35" t="n">
        <v>9888.1</v>
      </c>
      <c r="J81" s="35" t="n">
        <v>22.4</v>
      </c>
      <c r="K81" s="35" t="n">
        <v>13344.84</v>
      </c>
      <c r="L81" s="35" t="n">
        <v>7851.0775</v>
      </c>
      <c r="M81" s="35" t="n">
        <v>1041.7082</v>
      </c>
      <c r="N81" s="35" t="n">
        <v>2744</v>
      </c>
      <c r="O81" s="35" t="inlineStr">
        <is>
          <t>[x]</t>
        </is>
      </c>
      <c r="P81" s="35" t="n">
        <v>77965.13959999999</v>
      </c>
      <c r="Q81" s="31">
        <f>FALSE()</f>
        <v/>
      </c>
    </row>
    <row r="82" ht="15" customHeight="1" s="22">
      <c r="A82" s="31" t="n">
        <v>2019</v>
      </c>
      <c r="B82" s="31" t="n">
        <v>2</v>
      </c>
      <c r="C82" s="35" t="n">
        <v>6817.4878</v>
      </c>
      <c r="D82" s="35" t="n">
        <v>1411.836</v>
      </c>
      <c r="E82" s="35" t="n">
        <v>34667.4586</v>
      </c>
      <c r="F82" s="35" t="n">
        <v>9261</v>
      </c>
      <c r="G82" s="35" t="n">
        <v>1879.87</v>
      </c>
      <c r="H82" s="35" t="n">
        <v>13998.81</v>
      </c>
      <c r="I82" s="35" t="n">
        <v>9888.1</v>
      </c>
      <c r="J82" s="35" t="n">
        <v>22.4</v>
      </c>
      <c r="K82" s="35" t="n">
        <v>13344.84</v>
      </c>
      <c r="L82" s="35" t="n">
        <v>7851.0775</v>
      </c>
      <c r="M82" s="35" t="n">
        <v>1041.7082</v>
      </c>
      <c r="N82" s="35" t="n">
        <v>2744</v>
      </c>
      <c r="O82" s="35" t="inlineStr">
        <is>
          <t>[x]</t>
        </is>
      </c>
      <c r="P82" s="35" t="n">
        <v>77965.13959999999</v>
      </c>
      <c r="Q82" s="31">
        <f>FALSE()</f>
        <v/>
      </c>
    </row>
    <row r="83" ht="15" customHeight="1" s="22">
      <c r="A83" s="31" t="n">
        <v>2019</v>
      </c>
      <c r="B83" s="31" t="n">
        <v>3</v>
      </c>
      <c r="C83" s="35" t="n">
        <v>6817.4878</v>
      </c>
      <c r="D83" s="35" t="n">
        <v>1411.836</v>
      </c>
      <c r="E83" s="35" t="n">
        <v>34667.4586</v>
      </c>
      <c r="F83" s="35" t="n">
        <v>9261</v>
      </c>
      <c r="G83" s="35" t="n">
        <v>1879.87</v>
      </c>
      <c r="H83" s="35" t="n">
        <v>13998.81</v>
      </c>
      <c r="I83" s="35" t="n">
        <v>9888.1</v>
      </c>
      <c r="J83" s="35" t="n">
        <v>22.4</v>
      </c>
      <c r="K83" s="35" t="n">
        <v>13344.84</v>
      </c>
      <c r="L83" s="35" t="n">
        <v>7851.0775</v>
      </c>
      <c r="M83" s="35" t="n">
        <v>1041.7082</v>
      </c>
      <c r="N83" s="35" t="n">
        <v>2744</v>
      </c>
      <c r="O83" s="35" t="inlineStr">
        <is>
          <t>[x]</t>
        </is>
      </c>
      <c r="P83" s="35" t="n">
        <v>77965.13959999999</v>
      </c>
      <c r="Q83" s="31">
        <f>FALSE()</f>
        <v/>
      </c>
    </row>
    <row r="84" ht="15" customHeight="1" s="22">
      <c r="A84" s="31" t="n">
        <v>2019</v>
      </c>
      <c r="B84" s="31" t="n">
        <v>4</v>
      </c>
      <c r="C84" s="35" t="n">
        <v>6817.4878</v>
      </c>
      <c r="D84" s="35" t="n">
        <v>1411.836</v>
      </c>
      <c r="E84" s="35" t="n">
        <v>34667.4586</v>
      </c>
      <c r="F84" s="35" t="n">
        <v>9261</v>
      </c>
      <c r="G84" s="35" t="n">
        <v>1879.87</v>
      </c>
      <c r="H84" s="35" t="n">
        <v>13998.81</v>
      </c>
      <c r="I84" s="35" t="n">
        <v>9888.1</v>
      </c>
      <c r="J84" s="35" t="n">
        <v>22.4</v>
      </c>
      <c r="K84" s="35" t="n">
        <v>13344.84</v>
      </c>
      <c r="L84" s="35" t="n">
        <v>7851.0775</v>
      </c>
      <c r="M84" s="35" t="n">
        <v>1041.7082</v>
      </c>
      <c r="N84" s="35" t="n">
        <v>2744</v>
      </c>
      <c r="O84" s="35" t="inlineStr">
        <is>
          <t>[x]</t>
        </is>
      </c>
      <c r="P84" s="35" t="n">
        <v>77965.13959999999</v>
      </c>
      <c r="Q84" s="31">
        <f>FALSE()</f>
        <v/>
      </c>
    </row>
    <row r="85" ht="15" customHeight="1" s="22">
      <c r="A85" s="31" t="n">
        <v>2020</v>
      </c>
      <c r="B85" s="31" t="n">
        <v>1</v>
      </c>
      <c r="C85" s="35" t="n">
        <v>5360.8794</v>
      </c>
      <c r="D85" s="35" t="n">
        <v>1274.6969</v>
      </c>
      <c r="E85" s="35" t="n">
        <v>34923.8166</v>
      </c>
      <c r="F85" s="35" t="n">
        <v>7833</v>
      </c>
      <c r="G85" s="35" t="n">
        <v>1885.27</v>
      </c>
      <c r="H85" s="35" t="n">
        <v>14075.08</v>
      </c>
      <c r="I85" s="35" t="n">
        <v>10382.85</v>
      </c>
      <c r="J85" s="35" t="n">
        <v>9.800000000000001</v>
      </c>
      <c r="K85" s="35" t="n">
        <v>13746.55</v>
      </c>
      <c r="L85" s="35" t="n">
        <v>7960.284</v>
      </c>
      <c r="M85" s="35" t="n">
        <v>1078.6651</v>
      </c>
      <c r="N85" s="35" t="n">
        <v>2744</v>
      </c>
      <c r="O85" s="35" t="inlineStr">
        <is>
          <t>[x]</t>
        </is>
      </c>
      <c r="P85" s="35" t="n">
        <v>75627.0113</v>
      </c>
      <c r="Q85" s="31">
        <f>FALSE()</f>
        <v/>
      </c>
    </row>
    <row r="86" ht="15" customHeight="1" s="22">
      <c r="A86" s="31" t="n">
        <v>2020</v>
      </c>
      <c r="B86" s="31" t="n">
        <v>2</v>
      </c>
      <c r="C86" s="35" t="n">
        <v>5360.8794</v>
      </c>
      <c r="D86" s="35" t="n">
        <v>1274.6969</v>
      </c>
      <c r="E86" s="35" t="n">
        <v>34923.8166</v>
      </c>
      <c r="F86" s="35" t="n">
        <v>7833</v>
      </c>
      <c r="G86" s="35" t="n">
        <v>1885.27</v>
      </c>
      <c r="H86" s="35" t="n">
        <v>14075.08</v>
      </c>
      <c r="I86" s="35" t="n">
        <v>10382.85</v>
      </c>
      <c r="J86" s="35" t="n">
        <v>9.800000000000001</v>
      </c>
      <c r="K86" s="35" t="n">
        <v>13746.55</v>
      </c>
      <c r="L86" s="35" t="n">
        <v>7960.284</v>
      </c>
      <c r="M86" s="35" t="n">
        <v>1078.6651</v>
      </c>
      <c r="N86" s="35" t="n">
        <v>2744</v>
      </c>
      <c r="O86" s="35" t="inlineStr">
        <is>
          <t>[x]</t>
        </is>
      </c>
      <c r="P86" s="35" t="n">
        <v>75627.0113</v>
      </c>
      <c r="Q86" s="31">
        <f>FALSE()</f>
        <v/>
      </c>
    </row>
    <row r="87" ht="15" customHeight="1" s="22">
      <c r="A87" s="31" t="n">
        <v>2020</v>
      </c>
      <c r="B87" s="31" t="n">
        <v>3</v>
      </c>
      <c r="C87" s="35" t="n">
        <v>5360.8794</v>
      </c>
      <c r="D87" s="35" t="n">
        <v>1274.6969</v>
      </c>
      <c r="E87" s="35" t="n">
        <v>34923.8166</v>
      </c>
      <c r="F87" s="35" t="n">
        <v>7833</v>
      </c>
      <c r="G87" s="35" t="n">
        <v>1885.27</v>
      </c>
      <c r="H87" s="35" t="n">
        <v>14075.08</v>
      </c>
      <c r="I87" s="35" t="n">
        <v>10382.85</v>
      </c>
      <c r="J87" s="35" t="n">
        <v>9.800000000000001</v>
      </c>
      <c r="K87" s="35" t="n">
        <v>13746.55</v>
      </c>
      <c r="L87" s="35" t="n">
        <v>7960.284</v>
      </c>
      <c r="M87" s="35" t="n">
        <v>1078.6651</v>
      </c>
      <c r="N87" s="35" t="n">
        <v>2744</v>
      </c>
      <c r="O87" s="35" t="inlineStr">
        <is>
          <t>[x]</t>
        </is>
      </c>
      <c r="P87" s="35" t="n">
        <v>75627.0113</v>
      </c>
      <c r="Q87" s="31">
        <f>FALSE()</f>
        <v/>
      </c>
    </row>
    <row r="88" ht="15" customHeight="1" s="22">
      <c r="A88" s="31" t="n">
        <v>2020</v>
      </c>
      <c r="B88" s="31" t="n">
        <v>4</v>
      </c>
      <c r="C88" s="35" t="n">
        <v>5360.8794</v>
      </c>
      <c r="D88" s="35" t="n">
        <v>1274.6969</v>
      </c>
      <c r="E88" s="35" t="n">
        <v>34923.8166</v>
      </c>
      <c r="F88" s="35" t="n">
        <v>7833</v>
      </c>
      <c r="G88" s="35" t="n">
        <v>1885.27</v>
      </c>
      <c r="H88" s="35" t="n">
        <v>14075.08</v>
      </c>
      <c r="I88" s="35" t="n">
        <v>10382.85</v>
      </c>
      <c r="J88" s="35" t="n">
        <v>9.800000000000001</v>
      </c>
      <c r="K88" s="35" t="n">
        <v>13746.55</v>
      </c>
      <c r="L88" s="35" t="n">
        <v>7960.284</v>
      </c>
      <c r="M88" s="35" t="n">
        <v>1078.6651</v>
      </c>
      <c r="N88" s="35" t="n">
        <v>2744</v>
      </c>
      <c r="O88" s="35" t="inlineStr">
        <is>
          <t>[x]</t>
        </is>
      </c>
      <c r="P88" s="35" t="n">
        <v>75627.0113</v>
      </c>
      <c r="Q88" s="31">
        <f>FALSE()</f>
        <v/>
      </c>
    </row>
    <row r="89" ht="15" customHeight="1" s="22">
      <c r="A89" s="31" t="n">
        <v>2021</v>
      </c>
      <c r="B89" s="31" t="n">
        <v>1</v>
      </c>
      <c r="C89" s="35" t="n">
        <v>5359.8654</v>
      </c>
      <c r="D89" s="35" t="n">
        <v>1347.2424</v>
      </c>
      <c r="E89" s="35" t="n">
        <v>34873.6782</v>
      </c>
      <c r="F89" s="35" t="n">
        <v>7833</v>
      </c>
      <c r="G89" s="35" t="n">
        <v>1890.16</v>
      </c>
      <c r="H89" s="35" t="n">
        <v>14492.76</v>
      </c>
      <c r="I89" s="35" t="n">
        <v>11255.48</v>
      </c>
      <c r="J89" s="35" t="n">
        <v>9.800000000000001</v>
      </c>
      <c r="K89" s="35" t="n">
        <v>14150.76</v>
      </c>
      <c r="L89" s="35" t="n">
        <v>8148.9781</v>
      </c>
      <c r="M89" s="35" t="n">
        <v>1069.0072</v>
      </c>
      <c r="N89" s="35" t="n">
        <v>2744</v>
      </c>
      <c r="O89" s="35" t="inlineStr">
        <is>
          <t>[x]</t>
        </is>
      </c>
      <c r="P89" s="35" t="n">
        <v>76445.8702</v>
      </c>
      <c r="Q89" s="31">
        <f>FALSE()</f>
        <v/>
      </c>
    </row>
    <row r="90" ht="15" customHeight="1" s="22">
      <c r="A90" s="31" t="n">
        <v>2021</v>
      </c>
      <c r="B90" s="31" t="n">
        <v>2</v>
      </c>
      <c r="C90" s="35" t="n">
        <v>5359.8654</v>
      </c>
      <c r="D90" s="35" t="n">
        <v>1347.2424</v>
      </c>
      <c r="E90" s="35" t="n">
        <v>34873.6782</v>
      </c>
      <c r="F90" s="35" t="n">
        <v>7833</v>
      </c>
      <c r="G90" s="35" t="n">
        <v>1890.16</v>
      </c>
      <c r="H90" s="35" t="n">
        <v>14492.76</v>
      </c>
      <c r="I90" s="35" t="n">
        <v>11255.48</v>
      </c>
      <c r="J90" s="35" t="n">
        <v>9.800000000000001</v>
      </c>
      <c r="K90" s="35" t="n">
        <v>14150.76</v>
      </c>
      <c r="L90" s="35" t="n">
        <v>8148.9781</v>
      </c>
      <c r="M90" s="35" t="n">
        <v>1069.0072</v>
      </c>
      <c r="N90" s="35" t="n">
        <v>2744</v>
      </c>
      <c r="O90" s="35" t="inlineStr">
        <is>
          <t>[x]</t>
        </is>
      </c>
      <c r="P90" s="35" t="n">
        <v>76445.8702</v>
      </c>
      <c r="Q90" s="31">
        <f>FALSE()</f>
        <v/>
      </c>
    </row>
    <row r="91" ht="15" customHeight="1" s="22">
      <c r="A91" s="31" t="n">
        <v>2021</v>
      </c>
      <c r="B91" s="31" t="n">
        <v>3</v>
      </c>
      <c r="C91" s="35" t="n">
        <v>5359.8654</v>
      </c>
      <c r="D91" s="35" t="n">
        <v>1347.2424</v>
      </c>
      <c r="E91" s="35" t="n">
        <v>34873.6782</v>
      </c>
      <c r="F91" s="35" t="n">
        <v>7833</v>
      </c>
      <c r="G91" s="35" t="n">
        <v>1890.16</v>
      </c>
      <c r="H91" s="35" t="n">
        <v>14492.76</v>
      </c>
      <c r="I91" s="35" t="n">
        <v>11255.48</v>
      </c>
      <c r="J91" s="35" t="n">
        <v>9.800000000000001</v>
      </c>
      <c r="K91" s="35" t="n">
        <v>14150.76</v>
      </c>
      <c r="L91" s="35" t="n">
        <v>8148.9781</v>
      </c>
      <c r="M91" s="35" t="n">
        <v>1069.0072</v>
      </c>
      <c r="N91" s="35" t="n">
        <v>2744</v>
      </c>
      <c r="O91" s="35" t="inlineStr">
        <is>
          <t>[x]</t>
        </is>
      </c>
      <c r="P91" s="35" t="n">
        <v>76445.8702</v>
      </c>
      <c r="Q91" s="31">
        <f>FALSE()</f>
        <v/>
      </c>
    </row>
    <row r="92" ht="15" customHeight="1" s="22">
      <c r="A92" s="31" t="n">
        <v>2021</v>
      </c>
      <c r="B92" s="31" t="n">
        <v>4</v>
      </c>
      <c r="C92" s="35" t="n">
        <v>5359.8654</v>
      </c>
      <c r="D92" s="35" t="n">
        <v>1347.2424</v>
      </c>
      <c r="E92" s="35" t="n">
        <v>34873.6782</v>
      </c>
      <c r="F92" s="35" t="n">
        <v>7833</v>
      </c>
      <c r="G92" s="35" t="n">
        <v>1890.16</v>
      </c>
      <c r="H92" s="35" t="n">
        <v>14492.76</v>
      </c>
      <c r="I92" s="35" t="n">
        <v>11255.48</v>
      </c>
      <c r="J92" s="35" t="n">
        <v>9.800000000000001</v>
      </c>
      <c r="K92" s="35" t="n">
        <v>14150.76</v>
      </c>
      <c r="L92" s="35" t="n">
        <v>8148.9781</v>
      </c>
      <c r="M92" s="35" t="n">
        <v>1069.0072</v>
      </c>
      <c r="N92" s="35" t="n">
        <v>2744</v>
      </c>
      <c r="O92" s="35" t="inlineStr">
        <is>
          <t>[x]</t>
        </is>
      </c>
      <c r="P92" s="35" t="n">
        <v>76445.8702</v>
      </c>
      <c r="Q92" s="31">
        <f>FALSE()</f>
        <v/>
      </c>
    </row>
    <row r="93" ht="15" customHeight="1" s="22">
      <c r="A93" s="31" t="n">
        <v>2022</v>
      </c>
      <c r="B93" s="31" t="n">
        <v>1</v>
      </c>
      <c r="C93" s="35" t="n">
        <v>5339.824238</v>
      </c>
      <c r="D93" s="35" t="n">
        <v>1481.587853</v>
      </c>
      <c r="E93" s="35" t="n">
        <v>34870.742565</v>
      </c>
      <c r="F93" s="35" t="n">
        <v>5883</v>
      </c>
      <c r="G93" s="35" t="n">
        <v>1890.816</v>
      </c>
      <c r="H93" s="35" t="n">
        <v>14840.36</v>
      </c>
      <c r="I93" s="35" t="n">
        <v>13767.85</v>
      </c>
      <c r="J93" s="35" t="n">
        <v>8.199999999999999</v>
      </c>
      <c r="K93" s="35" t="n">
        <v>14701.97</v>
      </c>
      <c r="L93" s="35" t="n">
        <v>8126.1765456685</v>
      </c>
      <c r="M93" s="35" t="n">
        <v>843.3665</v>
      </c>
      <c r="N93" s="35" t="n">
        <v>2744</v>
      </c>
      <c r="O93" s="35" t="inlineStr">
        <is>
          <t>[x]</t>
        </is>
      </c>
      <c r="P93" s="35" t="n">
        <v>75695.21396257851</v>
      </c>
      <c r="Q93" s="31">
        <f>FALSE()</f>
        <v/>
      </c>
    </row>
    <row r="94" ht="15" customHeight="1" s="22">
      <c r="A94" s="31" t="n">
        <v>2022</v>
      </c>
      <c r="B94" s="31" t="n">
        <v>2</v>
      </c>
      <c r="C94" s="35" t="n">
        <v>5339.824238</v>
      </c>
      <c r="D94" s="35" t="n">
        <v>1481.587853</v>
      </c>
      <c r="E94" s="35" t="n">
        <v>34870.742565</v>
      </c>
      <c r="F94" s="35" t="n">
        <v>5883</v>
      </c>
      <c r="G94" s="35" t="n">
        <v>1890.816</v>
      </c>
      <c r="H94" s="35" t="n">
        <v>14840.36</v>
      </c>
      <c r="I94" s="35" t="n">
        <v>13767.85</v>
      </c>
      <c r="J94" s="35" t="n">
        <v>8.199999999999999</v>
      </c>
      <c r="K94" s="35" t="n">
        <v>14701.97</v>
      </c>
      <c r="L94" s="35" t="n">
        <v>8126.1765456685</v>
      </c>
      <c r="M94" s="35" t="n">
        <v>843.3665</v>
      </c>
      <c r="N94" s="35" t="n">
        <v>2744</v>
      </c>
      <c r="O94" s="35" t="inlineStr">
        <is>
          <t>[x]</t>
        </is>
      </c>
      <c r="P94" s="35" t="n">
        <v>75695.21396257851</v>
      </c>
      <c r="Q94" s="31">
        <f>FALSE()</f>
        <v/>
      </c>
    </row>
    <row r="95" ht="15" customHeight="1" s="22">
      <c r="A95" s="31" t="n">
        <v>2022</v>
      </c>
      <c r="B95" s="31" t="n">
        <v>3</v>
      </c>
      <c r="C95" s="35" t="n">
        <v>5339.824238</v>
      </c>
      <c r="D95" s="35" t="n">
        <v>1481.587853</v>
      </c>
      <c r="E95" s="35" t="n">
        <v>34870.742565</v>
      </c>
      <c r="F95" s="35" t="n">
        <v>5883</v>
      </c>
      <c r="G95" s="35" t="n">
        <v>1890.816</v>
      </c>
      <c r="H95" s="35" t="n">
        <v>14840.36</v>
      </c>
      <c r="I95" s="35" t="n">
        <v>13767.85</v>
      </c>
      <c r="J95" s="35" t="n">
        <v>8.199999999999999</v>
      </c>
      <c r="K95" s="35" t="n">
        <v>14701.97</v>
      </c>
      <c r="L95" s="35" t="n">
        <v>8126.1765456685</v>
      </c>
      <c r="M95" s="35" t="n">
        <v>843.3665</v>
      </c>
      <c r="N95" s="35" t="n">
        <v>2744</v>
      </c>
      <c r="O95" s="35" t="inlineStr">
        <is>
          <t>[x]</t>
        </is>
      </c>
      <c r="P95" s="35" t="n">
        <v>75695.21396257851</v>
      </c>
      <c r="Q95" s="31">
        <f>FALSE()</f>
        <v/>
      </c>
    </row>
    <row r="96" ht="15" customHeight="1" s="22">
      <c r="A96" s="31" t="n">
        <v>2022</v>
      </c>
      <c r="B96" s="31" t="n">
        <v>4</v>
      </c>
      <c r="C96" s="35" t="n">
        <v>5339.824238</v>
      </c>
      <c r="D96" s="35" t="n">
        <v>1481.587853</v>
      </c>
      <c r="E96" s="35" t="n">
        <v>34870.742565</v>
      </c>
      <c r="F96" s="35" t="n">
        <v>5883</v>
      </c>
      <c r="G96" s="35" t="n">
        <v>1890.816</v>
      </c>
      <c r="H96" s="35" t="n">
        <v>14840.36</v>
      </c>
      <c r="I96" s="35" t="n">
        <v>13767.85</v>
      </c>
      <c r="J96" s="35" t="n">
        <v>8.199999999999999</v>
      </c>
      <c r="K96" s="35" t="n">
        <v>14701.97</v>
      </c>
      <c r="L96" s="35" t="n">
        <v>8126.1765456685</v>
      </c>
      <c r="M96" s="35" t="n">
        <v>843.3665</v>
      </c>
      <c r="N96" s="35" t="n">
        <v>2744</v>
      </c>
      <c r="O96" s="35" t="inlineStr">
        <is>
          <t>[x]</t>
        </is>
      </c>
      <c r="P96" s="35" t="n">
        <v>75695.21396257851</v>
      </c>
      <c r="Q96" s="31">
        <f>FALSE()</f>
        <v/>
      </c>
    </row>
    <row r="97" ht="15" customHeight="1" s="22">
      <c r="A97" s="31" t="n">
        <v>2023</v>
      </c>
      <c r="B97" s="31" t="n">
        <v>1</v>
      </c>
      <c r="C97" s="35" t="n">
        <v>2045.7</v>
      </c>
      <c r="D97" s="35" t="n">
        <v>1409.244883</v>
      </c>
      <c r="E97" s="35" t="n">
        <v>36119.290483</v>
      </c>
      <c r="F97" s="35" t="n">
        <v>5883</v>
      </c>
      <c r="G97" s="35" t="n">
        <v>1859.086</v>
      </c>
      <c r="H97" s="35" t="n">
        <v>15423.65</v>
      </c>
      <c r="I97" s="35" t="n">
        <v>14652.85</v>
      </c>
      <c r="J97" s="35" t="n">
        <v>6.2</v>
      </c>
      <c r="K97" s="35" t="n">
        <v>16198.38</v>
      </c>
      <c r="L97" s="35" t="n">
        <v>8184.2716856685</v>
      </c>
      <c r="M97" s="35" t="n">
        <v>240.0209</v>
      </c>
      <c r="N97" s="35" t="n">
        <v>2744</v>
      </c>
      <c r="O97" s="35" t="inlineStr">
        <is>
          <t>[x]</t>
        </is>
      </c>
      <c r="P97" s="35" t="n">
        <v>73887.3190383785</v>
      </c>
      <c r="Q97" s="31">
        <f>FALSE()</f>
        <v/>
      </c>
    </row>
    <row r="98" ht="15" customHeight="1" s="22">
      <c r="A98" s="31" t="n">
        <v>2023</v>
      </c>
      <c r="B98" s="31" t="n">
        <v>2</v>
      </c>
      <c r="C98" s="35" t="n">
        <v>2045.7</v>
      </c>
      <c r="D98" s="35" t="n">
        <v>1409.244883</v>
      </c>
      <c r="E98" s="35" t="n">
        <v>36119.290483</v>
      </c>
      <c r="F98" s="35" t="n">
        <v>5883</v>
      </c>
      <c r="G98" s="35" t="n">
        <v>1859.086</v>
      </c>
      <c r="H98" s="35" t="n">
        <v>15423.65</v>
      </c>
      <c r="I98" s="35" t="n">
        <v>14652.85</v>
      </c>
      <c r="J98" s="35" t="n">
        <v>6.2</v>
      </c>
      <c r="K98" s="35" t="n">
        <v>16198.38</v>
      </c>
      <c r="L98" s="35" t="n">
        <v>8184.2716856685</v>
      </c>
      <c r="M98" s="35" t="n">
        <v>240.0209</v>
      </c>
      <c r="N98" s="35" t="n">
        <v>2744</v>
      </c>
      <c r="O98" s="35" t="inlineStr">
        <is>
          <t>[x]</t>
        </is>
      </c>
      <c r="P98" s="35" t="n">
        <v>73887.3190383785</v>
      </c>
      <c r="Q98" s="31">
        <f>FALSE()</f>
        <v/>
      </c>
    </row>
    <row r="99" ht="15" customHeight="1" s="22">
      <c r="A99" s="31" t="n">
        <v>2023</v>
      </c>
      <c r="B99" s="31" t="n">
        <v>3</v>
      </c>
      <c r="C99" s="35" t="n">
        <v>2045.7</v>
      </c>
      <c r="D99" s="35" t="n">
        <v>1409.244883</v>
      </c>
      <c r="E99" s="35" t="n">
        <v>36119.290483</v>
      </c>
      <c r="F99" s="35" t="n">
        <v>5883</v>
      </c>
      <c r="G99" s="35" t="n">
        <v>1859.086</v>
      </c>
      <c r="H99" s="35" t="n">
        <v>15423.65</v>
      </c>
      <c r="I99" s="35" t="n">
        <v>14652.85</v>
      </c>
      <c r="J99" s="35" t="n">
        <v>6.2</v>
      </c>
      <c r="K99" s="35" t="n">
        <v>16198.38</v>
      </c>
      <c r="L99" s="35" t="n">
        <v>8184.2716856685</v>
      </c>
      <c r="M99" s="35" t="n">
        <v>240.0209</v>
      </c>
      <c r="N99" s="35" t="n">
        <v>2744</v>
      </c>
      <c r="O99" s="35" t="inlineStr">
        <is>
          <t>[x]</t>
        </is>
      </c>
      <c r="P99" s="35" t="n">
        <v>73887.3190383785</v>
      </c>
      <c r="Q99" s="31">
        <f>FALSE()</f>
        <v/>
      </c>
    </row>
    <row r="100" ht="15" customHeight="1" s="22">
      <c r="A100" s="31" t="n">
        <v>2023</v>
      </c>
      <c r="B100" s="31" t="n">
        <v>4</v>
      </c>
      <c r="C100" s="35" t="n">
        <v>2045.7</v>
      </c>
      <c r="D100" s="35" t="n">
        <v>1409.244883</v>
      </c>
      <c r="E100" s="35" t="n">
        <v>36119.290483</v>
      </c>
      <c r="F100" s="35" t="n">
        <v>5883</v>
      </c>
      <c r="G100" s="35" t="n">
        <v>1859.086</v>
      </c>
      <c r="H100" s="35" t="n">
        <v>15423.65</v>
      </c>
      <c r="I100" s="35" t="n">
        <v>14652.85</v>
      </c>
      <c r="J100" s="35" t="n">
        <v>6.2</v>
      </c>
      <c r="K100" s="35" t="n">
        <v>16198.38</v>
      </c>
      <c r="L100" s="35" t="n">
        <v>8184.2716856685</v>
      </c>
      <c r="M100" s="35" t="n">
        <v>240.0209</v>
      </c>
      <c r="N100" s="35" t="n">
        <v>2744</v>
      </c>
      <c r="O100" s="35" t="inlineStr">
        <is>
          <t>[x]</t>
        </is>
      </c>
      <c r="P100" s="35" t="n">
        <v>73887.3190383785</v>
      </c>
      <c r="Q100" s="31">
        <f>FALSE()</f>
        <v/>
      </c>
    </row>
    <row r="101" ht="15" customHeight="1" s="22">
      <c r="A101" s="31" t="n">
        <v>2024</v>
      </c>
      <c r="B101" s="31" t="n">
        <v>1</v>
      </c>
      <c r="C101" s="35" t="n">
        <v>18.476299</v>
      </c>
      <c r="D101" s="35" t="n">
        <v>1253.127592</v>
      </c>
      <c r="E101" s="35" t="n">
        <v>34739.538769</v>
      </c>
      <c r="F101" s="35" t="n">
        <v>5883</v>
      </c>
      <c r="G101" s="35" t="n">
        <v>1898.806</v>
      </c>
      <c r="H101" s="35" t="n">
        <v>16166.23</v>
      </c>
      <c r="I101" s="35" t="n">
        <v>15836.05</v>
      </c>
      <c r="J101" s="35" t="n">
        <v>7.7</v>
      </c>
      <c r="K101" s="35" t="n">
        <v>18279.9</v>
      </c>
      <c r="L101" s="35" t="n">
        <v>8264.9745456685</v>
      </c>
      <c r="M101" s="35" t="n">
        <v>239.0095</v>
      </c>
      <c r="N101" s="35" t="n">
        <v>2744</v>
      </c>
      <c r="O101" s="35" t="inlineStr">
        <is>
          <t>[x]</t>
        </is>
      </c>
      <c r="P101" s="35" t="n">
        <v>71676.80031852851</v>
      </c>
      <c r="Q101" s="31">
        <f>FALSE()</f>
        <v/>
      </c>
    </row>
    <row r="102" ht="15" customHeight="1" s="22">
      <c r="A102" s="31" t="n">
        <v>2024</v>
      </c>
      <c r="B102" s="31" t="n">
        <v>2</v>
      </c>
      <c r="C102" s="35" t="n">
        <v>18.476299</v>
      </c>
      <c r="D102" s="35" t="n">
        <v>1253.127592</v>
      </c>
      <c r="E102" s="35" t="n">
        <v>34739.538769</v>
      </c>
      <c r="F102" s="35" t="n">
        <v>5883</v>
      </c>
      <c r="G102" s="35" t="n">
        <v>1898.806</v>
      </c>
      <c r="H102" s="35" t="n">
        <v>16166.23</v>
      </c>
      <c r="I102" s="35" t="n">
        <v>15836.05</v>
      </c>
      <c r="J102" s="35" t="n">
        <v>7.7</v>
      </c>
      <c r="K102" s="35" t="n">
        <v>18279.9</v>
      </c>
      <c r="L102" s="35" t="n">
        <v>8264.9745456685</v>
      </c>
      <c r="M102" s="35" t="n">
        <v>239.0095</v>
      </c>
      <c r="N102" s="35" t="n">
        <v>2744</v>
      </c>
      <c r="O102" s="35" t="inlineStr">
        <is>
          <t>[x]</t>
        </is>
      </c>
      <c r="P102" s="35" t="n">
        <v>71676.80031852851</v>
      </c>
      <c r="Q102" s="31">
        <f>FALSE()</f>
        <v/>
      </c>
    </row>
    <row r="103" ht="15" customHeight="1" s="22">
      <c r="A103" s="31" t="n">
        <v>2024</v>
      </c>
      <c r="B103" s="31" t="n">
        <v>3</v>
      </c>
      <c r="C103" s="35" t="n">
        <v>18.476299</v>
      </c>
      <c r="D103" s="35" t="n">
        <v>1253.127592</v>
      </c>
      <c r="E103" s="35" t="n">
        <v>34739.538769</v>
      </c>
      <c r="F103" s="35" t="n">
        <v>5883</v>
      </c>
      <c r="G103" s="35" t="n">
        <v>1898.806</v>
      </c>
      <c r="H103" s="35" t="n">
        <v>16166.23</v>
      </c>
      <c r="I103" s="35" t="n">
        <v>15836.05</v>
      </c>
      <c r="J103" s="35" t="n">
        <v>7.7</v>
      </c>
      <c r="K103" s="35" t="n">
        <v>18279.9</v>
      </c>
      <c r="L103" s="35" t="n">
        <v>8264.9745456685</v>
      </c>
      <c r="M103" s="35" t="n">
        <v>239.0095</v>
      </c>
      <c r="N103" s="35" t="n">
        <v>2744</v>
      </c>
      <c r="O103" s="35" t="inlineStr">
        <is>
          <t>[x]</t>
        </is>
      </c>
      <c r="P103" s="35" t="n">
        <v>71676.80031852851</v>
      </c>
      <c r="Q103" s="31">
        <f>FALSE()</f>
        <v/>
      </c>
    </row>
    <row r="104" ht="15" customHeight="1" s="22">
      <c r="A104" s="31" t="n">
        <v>2024</v>
      </c>
      <c r="B104" s="31" t="n">
        <v>4</v>
      </c>
      <c r="C104" s="35" t="n">
        <v>18.476299</v>
      </c>
      <c r="D104" s="35" t="n">
        <v>1253.127592</v>
      </c>
      <c r="E104" s="35" t="n">
        <v>34739.538769</v>
      </c>
      <c r="F104" s="35" t="n">
        <v>5883</v>
      </c>
      <c r="G104" s="35" t="n">
        <v>1898.806</v>
      </c>
      <c r="H104" s="35" t="n">
        <v>16166.23</v>
      </c>
      <c r="I104" s="35" t="n">
        <v>15836.05</v>
      </c>
      <c r="J104" s="35" t="n">
        <v>7.7</v>
      </c>
      <c r="K104" s="35" t="n">
        <v>18279.9</v>
      </c>
      <c r="L104" s="35" t="n">
        <v>8264.9745456685</v>
      </c>
      <c r="M104" s="35" t="n">
        <v>239.0095</v>
      </c>
      <c r="N104" s="35" t="n">
        <v>2744</v>
      </c>
      <c r="O104" s="35" t="inlineStr">
        <is>
          <t>[x]</t>
        </is>
      </c>
      <c r="P104" s="35" t="n">
        <v>71676.80031852851</v>
      </c>
      <c r="Q104" s="31">
        <f>FALSE()</f>
        <v/>
      </c>
    </row>
    <row r="105" ht="15" customHeight="1" s="22">
      <c r="A105" s="31" t="n">
        <v>2025</v>
      </c>
      <c r="B105" s="31" t="n">
        <v>1</v>
      </c>
      <c r="C105" s="36" t="n">
        <v>18.476299</v>
      </c>
      <c r="D105" s="36" t="n">
        <v>1253.127592</v>
      </c>
      <c r="E105" s="36" t="n">
        <v>34739.538769</v>
      </c>
      <c r="F105" s="36" t="n">
        <v>5883</v>
      </c>
      <c r="G105" s="36" t="n">
        <v>1898.806</v>
      </c>
      <c r="H105" s="36" t="n">
        <v>16166.23</v>
      </c>
      <c r="I105" s="36" t="n">
        <v>15836.05</v>
      </c>
      <c r="J105" s="36" t="n">
        <v>7.7</v>
      </c>
      <c r="K105" s="36" t="n">
        <v>18279.9</v>
      </c>
      <c r="L105" s="36" t="n">
        <v>8264.9745456685</v>
      </c>
      <c r="M105" s="36" t="n">
        <v>239.0095</v>
      </c>
      <c r="N105" s="36" t="n">
        <v>2744</v>
      </c>
      <c r="O105" s="36" t="inlineStr">
        <is>
          <t>[x]</t>
        </is>
      </c>
      <c r="P105" s="36" t="n">
        <v>71676.80031852851</v>
      </c>
      <c r="Q105" s="31">
        <f>TRUE()</f>
        <v/>
      </c>
    </row>
    <row r="106" ht="15" customHeight="1" s="22">
      <c r="A106" s="31" t="n">
        <v>2025</v>
      </c>
      <c r="B106" s="31" t="n">
        <v>2</v>
      </c>
      <c r="C106" s="36" t="n">
        <v>18.476299</v>
      </c>
      <c r="D106" s="36" t="n">
        <v>1253.127592</v>
      </c>
      <c r="E106" s="36" t="n">
        <v>34739.538769</v>
      </c>
      <c r="F106" s="36" t="n">
        <v>5883</v>
      </c>
      <c r="G106" s="36" t="n">
        <v>1898.806</v>
      </c>
      <c r="H106" s="36" t="n">
        <v>16166.23</v>
      </c>
      <c r="I106" s="36" t="n">
        <v>15836.05</v>
      </c>
      <c r="J106" s="36" t="n">
        <v>7.7</v>
      </c>
      <c r="K106" s="36" t="n">
        <v>18279.9</v>
      </c>
      <c r="L106" s="36" t="n">
        <v>8264.9745456685</v>
      </c>
      <c r="M106" s="36" t="n">
        <v>239.0095</v>
      </c>
      <c r="N106" s="36" t="n">
        <v>2744</v>
      </c>
      <c r="O106" s="36" t="inlineStr">
        <is>
          <t>[x]</t>
        </is>
      </c>
      <c r="P106" s="36" t="n">
        <v>71676.80031852851</v>
      </c>
      <c r="Q106" s="31">
        <f>TRUE()</f>
        <v/>
      </c>
    </row>
    <row r="107" ht="15" customHeight="1" s="22">
      <c r="A107" s="31" t="n">
        <v>2025</v>
      </c>
      <c r="B107" s="31" t="n">
        <v>3</v>
      </c>
      <c r="C107" s="36" t="n">
        <v>18.476299</v>
      </c>
      <c r="D107" s="36" t="n">
        <v>1253.127592</v>
      </c>
      <c r="E107" s="36" t="n">
        <v>34739.538769</v>
      </c>
      <c r="F107" s="36" t="n">
        <v>5883</v>
      </c>
      <c r="G107" s="36" t="n">
        <v>1898.806</v>
      </c>
      <c r="H107" s="36" t="n">
        <v>16166.23</v>
      </c>
      <c r="I107" s="36" t="n">
        <v>15836.05</v>
      </c>
      <c r="J107" s="36" t="n">
        <v>7.7</v>
      </c>
      <c r="K107" s="36" t="n">
        <v>18279.9</v>
      </c>
      <c r="L107" s="36" t="n">
        <v>8264.9745456685</v>
      </c>
      <c r="M107" s="36" t="n">
        <v>239.0095</v>
      </c>
      <c r="N107" s="36" t="n">
        <v>2744</v>
      </c>
      <c r="O107" s="36" t="inlineStr">
        <is>
          <t>[x]</t>
        </is>
      </c>
      <c r="P107" s="36" t="n">
        <v>71676.80031852851</v>
      </c>
      <c r="Q107" s="31">
        <f>TRUE()</f>
        <v/>
      </c>
    </row>
    <row r="108" ht="15" customHeight="1" s="22">
      <c r="A108" s="31" t="n">
        <v>2025</v>
      </c>
      <c r="B108" s="31" t="n">
        <v>4</v>
      </c>
      <c r="C108" s="36" t="n">
        <v>18.476299</v>
      </c>
      <c r="D108" s="36" t="n">
        <v>1253.127592</v>
      </c>
      <c r="E108" s="36" t="n">
        <v>34739.538769</v>
      </c>
      <c r="F108" s="36" t="n">
        <v>5883</v>
      </c>
      <c r="G108" s="36" t="n">
        <v>1898.806</v>
      </c>
      <c r="H108" s="36" t="n">
        <v>16166.23</v>
      </c>
      <c r="I108" s="36" t="n">
        <v>15836.05</v>
      </c>
      <c r="J108" s="36" t="n">
        <v>7.7</v>
      </c>
      <c r="K108" s="36" t="n">
        <v>18279.9</v>
      </c>
      <c r="L108" s="36" t="n">
        <v>8264.9745456685</v>
      </c>
      <c r="M108" s="36" t="n">
        <v>239.0095</v>
      </c>
      <c r="N108" s="36" t="n">
        <v>2744</v>
      </c>
      <c r="O108" s="36" t="inlineStr">
        <is>
          <t>[x]</t>
        </is>
      </c>
      <c r="P108" s="36" t="n">
        <v>71676.80031852851</v>
      </c>
      <c r="Q108" s="31">
        <f>TRUE()</f>
        <v/>
      </c>
    </row>
    <row r="109" ht="15" customHeight="1" s="22">
      <c r="A109" s="31" t="n">
        <v>2026</v>
      </c>
      <c r="B109" s="31" t="n">
        <v>1</v>
      </c>
      <c r="C109" s="36" t="n">
        <v>18.476299</v>
      </c>
      <c r="D109" s="36" t="n">
        <v>1253.127592</v>
      </c>
      <c r="E109" s="36" t="n">
        <v>34739.538769</v>
      </c>
      <c r="F109" s="36" t="n">
        <v>5883</v>
      </c>
      <c r="G109" s="36" t="n">
        <v>1898.806</v>
      </c>
      <c r="H109" s="36" t="n">
        <v>16166.23</v>
      </c>
      <c r="I109" s="36" t="n">
        <v>15836.05</v>
      </c>
      <c r="J109" s="36" t="n">
        <v>7.7</v>
      </c>
      <c r="K109" s="36" t="n">
        <v>18279.9</v>
      </c>
      <c r="L109" s="36" t="n">
        <v>8264.9745456685</v>
      </c>
      <c r="M109" s="36" t="n">
        <v>239.0095</v>
      </c>
      <c r="N109" s="36" t="n">
        <v>2744</v>
      </c>
      <c r="O109" s="36" t="inlineStr">
        <is>
          <t>[x]</t>
        </is>
      </c>
      <c r="P109" s="36" t="n">
        <v>71676.80031852851</v>
      </c>
      <c r="Q109" s="31">
        <f>TRUE()</f>
        <v/>
      </c>
    </row>
    <row r="111" ht="15" customHeight="1" s="22">
      <c r="A111" s="29" t="inlineStr">
        <is>
          <t>Amber cells = 2025-26 forward-filled from 2024 DUKES figures. See Cover sheet for the de-rated-vs-nameplate correction and the 2024 coal caveat.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P112"/>
  <sheetViews>
    <sheetView showFormulas="0" showGridLines="0"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8" customWidth="1" style="21" min="1" max="1"/>
    <col width="9" customWidth="1" style="21" min="2" max="2"/>
    <col width="14" customWidth="1" style="21" min="3" max="3"/>
    <col width="13" customWidth="1" style="21" min="4" max="16"/>
  </cols>
  <sheetData>
    <row r="1" ht="17.25" customHeight="1" s="22">
      <c r="A1" s="28" t="inlineStr">
        <is>
          <t>UK Capacity Factor by Fuel (%) - Quarterly, All Generating Companies</t>
        </is>
      </c>
    </row>
    <row r="2" ht="252" customHeight="1" s="22">
      <c r="A2" s="34" t="inlineStr">
        <is>
          <t>Live formula: Capacity Factor = Generation (TWh) x 1,000,000 / (Capacity (MW) x hours in quarter). "n/a" where capacity unavailable. See Cover sheet for 2024 coal and "Other fuels" caveats.</t>
        </is>
      </c>
    </row>
    <row r="4" ht="23.25" customHeight="1" s="22">
      <c r="A4" s="30" t="inlineStr">
        <is>
          <t>Year</t>
        </is>
      </c>
      <c r="B4" s="30" t="inlineStr">
        <is>
          <t>Quarter</t>
        </is>
      </c>
      <c r="C4" s="30" t="inlineStr">
        <is>
          <t>Hours in quarter</t>
        </is>
      </c>
      <c r="D4" s="30" t="inlineStr">
        <is>
          <t>Coal</t>
        </is>
      </c>
      <c r="E4" s="30" t="inlineStr">
        <is>
          <t>Oil</t>
        </is>
      </c>
      <c r="F4" s="30" t="inlineStr">
        <is>
          <t>Gas</t>
        </is>
      </c>
      <c r="G4" s="30" t="inlineStr">
        <is>
          <t>Nuclear</t>
        </is>
      </c>
      <c r="H4" s="30" t="inlineStr">
        <is>
          <t>Hydro (natural flow)</t>
        </is>
      </c>
      <c r="I4" s="30" t="inlineStr">
        <is>
          <t>Onshore wind</t>
        </is>
      </c>
      <c r="J4" s="30" t="inlineStr">
        <is>
          <t>Offshore wind</t>
        </is>
      </c>
      <c r="K4" s="30" t="inlineStr">
        <is>
          <t>Shoreline wave / tidal</t>
        </is>
      </c>
      <c r="L4" s="30" t="inlineStr">
        <is>
          <t>Solar</t>
        </is>
      </c>
      <c r="M4" s="30" t="inlineStr">
        <is>
          <t>Bioenergy</t>
        </is>
      </c>
      <c r="N4" s="30" t="inlineStr">
        <is>
          <t>Other fuels</t>
        </is>
      </c>
      <c r="O4" s="30" t="inlineStr">
        <is>
          <t>Pumped storage</t>
        </is>
      </c>
      <c r="P4" s="30" t="inlineStr">
        <is>
          <t>Battery storage</t>
        </is>
      </c>
    </row>
    <row r="5" ht="15" customHeight="1" s="22">
      <c r="A5" s="31" t="n">
        <v>2000</v>
      </c>
      <c r="B5" s="31" t="n">
        <v>1</v>
      </c>
      <c r="C5" s="31" t="n">
        <v>2184</v>
      </c>
      <c r="D5" s="37">
        <f>IFERROR(IF(OR(ISTEXT('Capacity (MW)'!C5),'Capacity (MW)'!C5=0,ISTEXT('Generation (TWh)'!D5)),"n/a",'Generation (TWh)'!D5*1000000/('Capacity (MW)'!C5*$C5)),"n/a")</f>
        <v/>
      </c>
      <c r="E5" s="37">
        <f>IFERROR(IF(OR(ISTEXT('Capacity (MW)'!D5),'Capacity (MW)'!D5=0,ISTEXT('Generation (TWh)'!E5)),"n/a",'Generation (TWh)'!E5*1000000/('Capacity (MW)'!D5*$C5)),"n/a")</f>
        <v/>
      </c>
      <c r="F5" s="37">
        <f>IFERROR(IF(OR(ISTEXT('Capacity (MW)'!E5),'Capacity (MW)'!E5=0,ISTEXT('Generation (TWh)'!F5)),"n/a",'Generation (TWh)'!F5*1000000/('Capacity (MW)'!E5*$C5)),"n/a")</f>
        <v/>
      </c>
      <c r="G5" s="37">
        <f>IFERROR(IF(OR(ISTEXT('Capacity (MW)'!F5),'Capacity (MW)'!F5=0,ISTEXT('Generation (TWh)'!G5)),"n/a",'Generation (TWh)'!G5*1000000/('Capacity (MW)'!F5*$C5)),"n/a")</f>
        <v/>
      </c>
      <c r="H5" s="37">
        <f>IFERROR(IF(OR(ISTEXT('Capacity (MW)'!G5),'Capacity (MW)'!G5=0,ISTEXT('Generation (TWh)'!H5)),"n/a",'Generation (TWh)'!H5*1000000/('Capacity (MW)'!G5*$C5)),"n/a")</f>
        <v/>
      </c>
      <c r="I5" s="37">
        <f>IFERROR(IF(OR(ISTEXT('Capacity (MW)'!H5),'Capacity (MW)'!H5=0,ISTEXT('Generation (TWh)'!I5)),"n/a",'Generation (TWh)'!I5*1000000/('Capacity (MW)'!H5*$C5)),"n/a")</f>
        <v/>
      </c>
      <c r="J5" s="37">
        <f>IFERROR(IF(OR(ISTEXT('Capacity (MW)'!I5),'Capacity (MW)'!I5=0,ISTEXT('Generation (TWh)'!J5)),"n/a",'Generation (TWh)'!J5*1000000/('Capacity (MW)'!I5*$C5)),"n/a")</f>
        <v/>
      </c>
      <c r="K5" s="37">
        <f>IFERROR(IF(OR(ISTEXT('Capacity (MW)'!J5),'Capacity (MW)'!J5=0,ISTEXT('Generation (TWh)'!K5)),"n/a",'Generation (TWh)'!K5*1000000/('Capacity (MW)'!J5*$C5)),"n/a")</f>
        <v/>
      </c>
      <c r="L5" s="37">
        <f>IFERROR(IF(OR(ISTEXT('Capacity (MW)'!K5),'Capacity (MW)'!K5=0,ISTEXT('Generation (TWh)'!L5)),"n/a",'Generation (TWh)'!L5*1000000/('Capacity (MW)'!K5*$C5)),"n/a")</f>
        <v/>
      </c>
      <c r="M5" s="37">
        <f>IFERROR(IF(OR(ISTEXT('Capacity (MW)'!L5),'Capacity (MW)'!L5=0,ISTEXT('Generation (TWh)'!M5)),"n/a",'Generation (TWh)'!M5*1000000/('Capacity (MW)'!L5*$C5)),"n/a")</f>
        <v/>
      </c>
      <c r="N5" s="37">
        <f>IFERROR(IF(OR(ISTEXT('Capacity (MW)'!M5),'Capacity (MW)'!M5=0,ISTEXT('Generation (TWh)'!N5)),"n/a",'Generation (TWh)'!N5*1000000/('Capacity (MW)'!M5*$C5)),"n/a")</f>
        <v/>
      </c>
      <c r="O5" s="37">
        <f>IFERROR(IF(OR(ISTEXT('Capacity (MW)'!N5),'Capacity (MW)'!N5=0,ISTEXT('Generation (TWh)'!O5)),"n/a",'Generation (TWh)'!O5*1000000/('Capacity (MW)'!N5*$C5)),"n/a")</f>
        <v/>
      </c>
      <c r="P5" s="37">
        <f>IFERROR(IF(OR(ISTEXT('Capacity (MW)'!O5),'Capacity (MW)'!O5=0,ISTEXT('Generation (TWh)'!P5)),"n/a",'Generation (TWh)'!P5*1000000/('Capacity (MW)'!O5*$C5)),"n/a")</f>
        <v/>
      </c>
    </row>
    <row r="6" ht="15" customHeight="1" s="22">
      <c r="A6" s="31" t="n">
        <v>2000</v>
      </c>
      <c r="B6" s="31" t="n">
        <v>2</v>
      </c>
      <c r="C6" s="31" t="n">
        <v>2184</v>
      </c>
      <c r="D6" s="37">
        <f>IFERROR(IF(OR(ISTEXT('Capacity (MW)'!C6),'Capacity (MW)'!C6=0,ISTEXT('Generation (TWh)'!D6)),"n/a",'Generation (TWh)'!D6*1000000/('Capacity (MW)'!C6*$C6)),"n/a")</f>
        <v/>
      </c>
      <c r="E6" s="37">
        <f>IFERROR(IF(OR(ISTEXT('Capacity (MW)'!D6),'Capacity (MW)'!D6=0,ISTEXT('Generation (TWh)'!E6)),"n/a",'Generation (TWh)'!E6*1000000/('Capacity (MW)'!D6*$C6)),"n/a")</f>
        <v/>
      </c>
      <c r="F6" s="37">
        <f>IFERROR(IF(OR(ISTEXT('Capacity (MW)'!E6),'Capacity (MW)'!E6=0,ISTEXT('Generation (TWh)'!F6)),"n/a",'Generation (TWh)'!F6*1000000/('Capacity (MW)'!E6*$C6)),"n/a")</f>
        <v/>
      </c>
      <c r="G6" s="37">
        <f>IFERROR(IF(OR(ISTEXT('Capacity (MW)'!F6),'Capacity (MW)'!F6=0,ISTEXT('Generation (TWh)'!G6)),"n/a",'Generation (TWh)'!G6*1000000/('Capacity (MW)'!F6*$C6)),"n/a")</f>
        <v/>
      </c>
      <c r="H6" s="37">
        <f>IFERROR(IF(OR(ISTEXT('Capacity (MW)'!G6),'Capacity (MW)'!G6=0,ISTEXT('Generation (TWh)'!H6)),"n/a",'Generation (TWh)'!H6*1000000/('Capacity (MW)'!G6*$C6)),"n/a")</f>
        <v/>
      </c>
      <c r="I6" s="37">
        <f>IFERROR(IF(OR(ISTEXT('Capacity (MW)'!H6),'Capacity (MW)'!H6=0,ISTEXT('Generation (TWh)'!I6)),"n/a",'Generation (TWh)'!I6*1000000/('Capacity (MW)'!H6*$C6)),"n/a")</f>
        <v/>
      </c>
      <c r="J6" s="37">
        <f>IFERROR(IF(OR(ISTEXT('Capacity (MW)'!I6),'Capacity (MW)'!I6=0,ISTEXT('Generation (TWh)'!J6)),"n/a",'Generation (TWh)'!J6*1000000/('Capacity (MW)'!I6*$C6)),"n/a")</f>
        <v/>
      </c>
      <c r="K6" s="37">
        <f>IFERROR(IF(OR(ISTEXT('Capacity (MW)'!J6),'Capacity (MW)'!J6=0,ISTEXT('Generation (TWh)'!K6)),"n/a",'Generation (TWh)'!K6*1000000/('Capacity (MW)'!J6*$C6)),"n/a")</f>
        <v/>
      </c>
      <c r="L6" s="37">
        <f>IFERROR(IF(OR(ISTEXT('Capacity (MW)'!K6),'Capacity (MW)'!K6=0,ISTEXT('Generation (TWh)'!L6)),"n/a",'Generation (TWh)'!L6*1000000/('Capacity (MW)'!K6*$C6)),"n/a")</f>
        <v/>
      </c>
      <c r="M6" s="37">
        <f>IFERROR(IF(OR(ISTEXT('Capacity (MW)'!L6),'Capacity (MW)'!L6=0,ISTEXT('Generation (TWh)'!M6)),"n/a",'Generation (TWh)'!M6*1000000/('Capacity (MW)'!L6*$C6)),"n/a")</f>
        <v/>
      </c>
      <c r="N6" s="37">
        <f>IFERROR(IF(OR(ISTEXT('Capacity (MW)'!M6),'Capacity (MW)'!M6=0,ISTEXT('Generation (TWh)'!N6)),"n/a",'Generation (TWh)'!N6*1000000/('Capacity (MW)'!M6*$C6)),"n/a")</f>
        <v/>
      </c>
      <c r="O6" s="37">
        <f>IFERROR(IF(OR(ISTEXT('Capacity (MW)'!N6),'Capacity (MW)'!N6=0,ISTEXT('Generation (TWh)'!O6)),"n/a",'Generation (TWh)'!O6*1000000/('Capacity (MW)'!N6*$C6)),"n/a")</f>
        <v/>
      </c>
      <c r="P6" s="37">
        <f>IFERROR(IF(OR(ISTEXT('Capacity (MW)'!O6),'Capacity (MW)'!O6=0,ISTEXT('Generation (TWh)'!P6)),"n/a",'Generation (TWh)'!P6*1000000/('Capacity (MW)'!O6*$C6)),"n/a")</f>
        <v/>
      </c>
    </row>
    <row r="7" ht="15" customHeight="1" s="22">
      <c r="A7" s="31" t="n">
        <v>2000</v>
      </c>
      <c r="B7" s="31" t="n">
        <v>3</v>
      </c>
      <c r="C7" s="31" t="n">
        <v>2208</v>
      </c>
      <c r="D7" s="37">
        <f>IFERROR(IF(OR(ISTEXT('Capacity (MW)'!C7),'Capacity (MW)'!C7=0,ISTEXT('Generation (TWh)'!D7)),"n/a",'Generation (TWh)'!D7*1000000/('Capacity (MW)'!C7*$C7)),"n/a")</f>
        <v/>
      </c>
      <c r="E7" s="37">
        <f>IFERROR(IF(OR(ISTEXT('Capacity (MW)'!D7),'Capacity (MW)'!D7=0,ISTEXT('Generation (TWh)'!E7)),"n/a",'Generation (TWh)'!E7*1000000/('Capacity (MW)'!D7*$C7)),"n/a")</f>
        <v/>
      </c>
      <c r="F7" s="37">
        <f>IFERROR(IF(OR(ISTEXT('Capacity (MW)'!E7),'Capacity (MW)'!E7=0,ISTEXT('Generation (TWh)'!F7)),"n/a",'Generation (TWh)'!F7*1000000/('Capacity (MW)'!E7*$C7)),"n/a")</f>
        <v/>
      </c>
      <c r="G7" s="37">
        <f>IFERROR(IF(OR(ISTEXT('Capacity (MW)'!F7),'Capacity (MW)'!F7=0,ISTEXT('Generation (TWh)'!G7)),"n/a",'Generation (TWh)'!G7*1000000/('Capacity (MW)'!F7*$C7)),"n/a")</f>
        <v/>
      </c>
      <c r="H7" s="37">
        <f>IFERROR(IF(OR(ISTEXT('Capacity (MW)'!G7),'Capacity (MW)'!G7=0,ISTEXT('Generation (TWh)'!H7)),"n/a",'Generation (TWh)'!H7*1000000/('Capacity (MW)'!G7*$C7)),"n/a")</f>
        <v/>
      </c>
      <c r="I7" s="37">
        <f>IFERROR(IF(OR(ISTEXT('Capacity (MW)'!H7),'Capacity (MW)'!H7=0,ISTEXT('Generation (TWh)'!I7)),"n/a",'Generation (TWh)'!I7*1000000/('Capacity (MW)'!H7*$C7)),"n/a")</f>
        <v/>
      </c>
      <c r="J7" s="37">
        <f>IFERROR(IF(OR(ISTEXT('Capacity (MW)'!I7),'Capacity (MW)'!I7=0,ISTEXT('Generation (TWh)'!J7)),"n/a",'Generation (TWh)'!J7*1000000/('Capacity (MW)'!I7*$C7)),"n/a")</f>
        <v/>
      </c>
      <c r="K7" s="37">
        <f>IFERROR(IF(OR(ISTEXT('Capacity (MW)'!J7),'Capacity (MW)'!J7=0,ISTEXT('Generation (TWh)'!K7)),"n/a",'Generation (TWh)'!K7*1000000/('Capacity (MW)'!J7*$C7)),"n/a")</f>
        <v/>
      </c>
      <c r="L7" s="37">
        <f>IFERROR(IF(OR(ISTEXT('Capacity (MW)'!K7),'Capacity (MW)'!K7=0,ISTEXT('Generation (TWh)'!L7)),"n/a",'Generation (TWh)'!L7*1000000/('Capacity (MW)'!K7*$C7)),"n/a")</f>
        <v/>
      </c>
      <c r="M7" s="37">
        <f>IFERROR(IF(OR(ISTEXT('Capacity (MW)'!L7),'Capacity (MW)'!L7=0,ISTEXT('Generation (TWh)'!M7)),"n/a",'Generation (TWh)'!M7*1000000/('Capacity (MW)'!L7*$C7)),"n/a")</f>
        <v/>
      </c>
      <c r="N7" s="37">
        <f>IFERROR(IF(OR(ISTEXT('Capacity (MW)'!M7),'Capacity (MW)'!M7=0,ISTEXT('Generation (TWh)'!N7)),"n/a",'Generation (TWh)'!N7*1000000/('Capacity (MW)'!M7*$C7)),"n/a")</f>
        <v/>
      </c>
      <c r="O7" s="37">
        <f>IFERROR(IF(OR(ISTEXT('Capacity (MW)'!N7),'Capacity (MW)'!N7=0,ISTEXT('Generation (TWh)'!O7)),"n/a",'Generation (TWh)'!O7*1000000/('Capacity (MW)'!N7*$C7)),"n/a")</f>
        <v/>
      </c>
      <c r="P7" s="37">
        <f>IFERROR(IF(OR(ISTEXT('Capacity (MW)'!O7),'Capacity (MW)'!O7=0,ISTEXT('Generation (TWh)'!P7)),"n/a",'Generation (TWh)'!P7*1000000/('Capacity (MW)'!O7*$C7)),"n/a")</f>
        <v/>
      </c>
    </row>
    <row r="8" ht="15" customHeight="1" s="22">
      <c r="A8" s="31" t="n">
        <v>2000</v>
      </c>
      <c r="B8" s="31" t="n">
        <v>4</v>
      </c>
      <c r="C8" s="31" t="n">
        <v>2208</v>
      </c>
      <c r="D8" s="37">
        <f>IFERROR(IF(OR(ISTEXT('Capacity (MW)'!C8),'Capacity (MW)'!C8=0,ISTEXT('Generation (TWh)'!D8)),"n/a",'Generation (TWh)'!D8*1000000/('Capacity (MW)'!C8*$C8)),"n/a")</f>
        <v/>
      </c>
      <c r="E8" s="37">
        <f>IFERROR(IF(OR(ISTEXT('Capacity (MW)'!D8),'Capacity (MW)'!D8=0,ISTEXT('Generation (TWh)'!E8)),"n/a",'Generation (TWh)'!E8*1000000/('Capacity (MW)'!D8*$C8)),"n/a")</f>
        <v/>
      </c>
      <c r="F8" s="37">
        <f>IFERROR(IF(OR(ISTEXT('Capacity (MW)'!E8),'Capacity (MW)'!E8=0,ISTEXT('Generation (TWh)'!F8)),"n/a",'Generation (TWh)'!F8*1000000/('Capacity (MW)'!E8*$C8)),"n/a")</f>
        <v/>
      </c>
      <c r="G8" s="37">
        <f>IFERROR(IF(OR(ISTEXT('Capacity (MW)'!F8),'Capacity (MW)'!F8=0,ISTEXT('Generation (TWh)'!G8)),"n/a",'Generation (TWh)'!G8*1000000/('Capacity (MW)'!F8*$C8)),"n/a")</f>
        <v/>
      </c>
      <c r="H8" s="37">
        <f>IFERROR(IF(OR(ISTEXT('Capacity (MW)'!G8),'Capacity (MW)'!G8=0,ISTEXT('Generation (TWh)'!H8)),"n/a",'Generation (TWh)'!H8*1000000/('Capacity (MW)'!G8*$C8)),"n/a")</f>
        <v/>
      </c>
      <c r="I8" s="37">
        <f>IFERROR(IF(OR(ISTEXT('Capacity (MW)'!H8),'Capacity (MW)'!H8=0,ISTEXT('Generation (TWh)'!I8)),"n/a",'Generation (TWh)'!I8*1000000/('Capacity (MW)'!H8*$C8)),"n/a")</f>
        <v/>
      </c>
      <c r="J8" s="37">
        <f>IFERROR(IF(OR(ISTEXT('Capacity (MW)'!I8),'Capacity (MW)'!I8=0,ISTEXT('Generation (TWh)'!J8)),"n/a",'Generation (TWh)'!J8*1000000/('Capacity (MW)'!I8*$C8)),"n/a")</f>
        <v/>
      </c>
      <c r="K8" s="37">
        <f>IFERROR(IF(OR(ISTEXT('Capacity (MW)'!J8),'Capacity (MW)'!J8=0,ISTEXT('Generation (TWh)'!K8)),"n/a",'Generation (TWh)'!K8*1000000/('Capacity (MW)'!J8*$C8)),"n/a")</f>
        <v/>
      </c>
      <c r="L8" s="37">
        <f>IFERROR(IF(OR(ISTEXT('Capacity (MW)'!K8),'Capacity (MW)'!K8=0,ISTEXT('Generation (TWh)'!L8)),"n/a",'Generation (TWh)'!L8*1000000/('Capacity (MW)'!K8*$C8)),"n/a")</f>
        <v/>
      </c>
      <c r="M8" s="37">
        <f>IFERROR(IF(OR(ISTEXT('Capacity (MW)'!L8),'Capacity (MW)'!L8=0,ISTEXT('Generation (TWh)'!M8)),"n/a",'Generation (TWh)'!M8*1000000/('Capacity (MW)'!L8*$C8)),"n/a")</f>
        <v/>
      </c>
      <c r="N8" s="37">
        <f>IFERROR(IF(OR(ISTEXT('Capacity (MW)'!M8),'Capacity (MW)'!M8=0,ISTEXT('Generation (TWh)'!N8)),"n/a",'Generation (TWh)'!N8*1000000/('Capacity (MW)'!M8*$C8)),"n/a")</f>
        <v/>
      </c>
      <c r="O8" s="37">
        <f>IFERROR(IF(OR(ISTEXT('Capacity (MW)'!N8),'Capacity (MW)'!N8=0,ISTEXT('Generation (TWh)'!O8)),"n/a",'Generation (TWh)'!O8*1000000/('Capacity (MW)'!N8*$C8)),"n/a")</f>
        <v/>
      </c>
      <c r="P8" s="37">
        <f>IFERROR(IF(OR(ISTEXT('Capacity (MW)'!O8),'Capacity (MW)'!O8=0,ISTEXT('Generation (TWh)'!P8)),"n/a",'Generation (TWh)'!P8*1000000/('Capacity (MW)'!O8*$C8)),"n/a")</f>
        <v/>
      </c>
    </row>
    <row r="9" ht="15" customHeight="1" s="22">
      <c r="A9" s="31" t="n">
        <v>2001</v>
      </c>
      <c r="B9" s="31" t="n">
        <v>1</v>
      </c>
      <c r="C9" s="31" t="n">
        <v>2160</v>
      </c>
      <c r="D9" s="37">
        <f>IFERROR(IF(OR(ISTEXT('Capacity (MW)'!C9),'Capacity (MW)'!C9=0,ISTEXT('Generation (TWh)'!D9)),"n/a",'Generation (TWh)'!D9*1000000/('Capacity (MW)'!C9*$C9)),"n/a")</f>
        <v/>
      </c>
      <c r="E9" s="37">
        <f>IFERROR(IF(OR(ISTEXT('Capacity (MW)'!D9),'Capacity (MW)'!D9=0,ISTEXT('Generation (TWh)'!E9)),"n/a",'Generation (TWh)'!E9*1000000/('Capacity (MW)'!D9*$C9)),"n/a")</f>
        <v/>
      </c>
      <c r="F9" s="37">
        <f>IFERROR(IF(OR(ISTEXT('Capacity (MW)'!E9),'Capacity (MW)'!E9=0,ISTEXT('Generation (TWh)'!F9)),"n/a",'Generation (TWh)'!F9*1000000/('Capacity (MW)'!E9*$C9)),"n/a")</f>
        <v/>
      </c>
      <c r="G9" s="37">
        <f>IFERROR(IF(OR(ISTEXT('Capacity (MW)'!F9),'Capacity (MW)'!F9=0,ISTEXT('Generation (TWh)'!G9)),"n/a",'Generation (TWh)'!G9*1000000/('Capacity (MW)'!F9*$C9)),"n/a")</f>
        <v/>
      </c>
      <c r="H9" s="37">
        <f>IFERROR(IF(OR(ISTEXT('Capacity (MW)'!G9),'Capacity (MW)'!G9=0,ISTEXT('Generation (TWh)'!H9)),"n/a",'Generation (TWh)'!H9*1000000/('Capacity (MW)'!G9*$C9)),"n/a")</f>
        <v/>
      </c>
      <c r="I9" s="37">
        <f>IFERROR(IF(OR(ISTEXT('Capacity (MW)'!H9),'Capacity (MW)'!H9=0,ISTEXT('Generation (TWh)'!I9)),"n/a",'Generation (TWh)'!I9*1000000/('Capacity (MW)'!H9*$C9)),"n/a")</f>
        <v/>
      </c>
      <c r="J9" s="37">
        <f>IFERROR(IF(OR(ISTEXT('Capacity (MW)'!I9),'Capacity (MW)'!I9=0,ISTEXT('Generation (TWh)'!J9)),"n/a",'Generation (TWh)'!J9*1000000/('Capacity (MW)'!I9*$C9)),"n/a")</f>
        <v/>
      </c>
      <c r="K9" s="37">
        <f>IFERROR(IF(OR(ISTEXT('Capacity (MW)'!J9),'Capacity (MW)'!J9=0,ISTEXT('Generation (TWh)'!K9)),"n/a",'Generation (TWh)'!K9*1000000/('Capacity (MW)'!J9*$C9)),"n/a")</f>
        <v/>
      </c>
      <c r="L9" s="37">
        <f>IFERROR(IF(OR(ISTEXT('Capacity (MW)'!K9),'Capacity (MW)'!K9=0,ISTEXT('Generation (TWh)'!L9)),"n/a",'Generation (TWh)'!L9*1000000/('Capacity (MW)'!K9*$C9)),"n/a")</f>
        <v/>
      </c>
      <c r="M9" s="37">
        <f>IFERROR(IF(OR(ISTEXT('Capacity (MW)'!L9),'Capacity (MW)'!L9=0,ISTEXT('Generation (TWh)'!M9)),"n/a",'Generation (TWh)'!M9*1000000/('Capacity (MW)'!L9*$C9)),"n/a")</f>
        <v/>
      </c>
      <c r="N9" s="37">
        <f>IFERROR(IF(OR(ISTEXT('Capacity (MW)'!M9),'Capacity (MW)'!M9=0,ISTEXT('Generation (TWh)'!N9)),"n/a",'Generation (TWh)'!N9*1000000/('Capacity (MW)'!M9*$C9)),"n/a")</f>
        <v/>
      </c>
      <c r="O9" s="37">
        <f>IFERROR(IF(OR(ISTEXT('Capacity (MW)'!N9),'Capacity (MW)'!N9=0,ISTEXT('Generation (TWh)'!O9)),"n/a",'Generation (TWh)'!O9*1000000/('Capacity (MW)'!N9*$C9)),"n/a")</f>
        <v/>
      </c>
      <c r="P9" s="37">
        <f>IFERROR(IF(OR(ISTEXT('Capacity (MW)'!O9),'Capacity (MW)'!O9=0,ISTEXT('Generation (TWh)'!P9)),"n/a",'Generation (TWh)'!P9*1000000/('Capacity (MW)'!O9*$C9)),"n/a")</f>
        <v/>
      </c>
    </row>
    <row r="10" ht="15" customHeight="1" s="22">
      <c r="A10" s="31" t="n">
        <v>2001</v>
      </c>
      <c r="B10" s="31" t="n">
        <v>2</v>
      </c>
      <c r="C10" s="31" t="n">
        <v>2184</v>
      </c>
      <c r="D10" s="37">
        <f>IFERROR(IF(OR(ISTEXT('Capacity (MW)'!C10),'Capacity (MW)'!C10=0,ISTEXT('Generation (TWh)'!D10)),"n/a",'Generation (TWh)'!D10*1000000/('Capacity (MW)'!C10*$C10)),"n/a")</f>
        <v/>
      </c>
      <c r="E10" s="37">
        <f>IFERROR(IF(OR(ISTEXT('Capacity (MW)'!D10),'Capacity (MW)'!D10=0,ISTEXT('Generation (TWh)'!E10)),"n/a",'Generation (TWh)'!E10*1000000/('Capacity (MW)'!D10*$C10)),"n/a")</f>
        <v/>
      </c>
      <c r="F10" s="37">
        <f>IFERROR(IF(OR(ISTEXT('Capacity (MW)'!E10),'Capacity (MW)'!E10=0,ISTEXT('Generation (TWh)'!F10)),"n/a",'Generation (TWh)'!F10*1000000/('Capacity (MW)'!E10*$C10)),"n/a")</f>
        <v/>
      </c>
      <c r="G10" s="37">
        <f>IFERROR(IF(OR(ISTEXT('Capacity (MW)'!F10),'Capacity (MW)'!F10=0,ISTEXT('Generation (TWh)'!G10)),"n/a",'Generation (TWh)'!G10*1000000/('Capacity (MW)'!F10*$C10)),"n/a")</f>
        <v/>
      </c>
      <c r="H10" s="37">
        <f>IFERROR(IF(OR(ISTEXT('Capacity (MW)'!G10),'Capacity (MW)'!G10=0,ISTEXT('Generation (TWh)'!H10)),"n/a",'Generation (TWh)'!H10*1000000/('Capacity (MW)'!G10*$C10)),"n/a")</f>
        <v/>
      </c>
      <c r="I10" s="37">
        <f>IFERROR(IF(OR(ISTEXT('Capacity (MW)'!H10),'Capacity (MW)'!H10=0,ISTEXT('Generation (TWh)'!I10)),"n/a",'Generation (TWh)'!I10*1000000/('Capacity (MW)'!H10*$C10)),"n/a")</f>
        <v/>
      </c>
      <c r="J10" s="37">
        <f>IFERROR(IF(OR(ISTEXT('Capacity (MW)'!I10),'Capacity (MW)'!I10=0,ISTEXT('Generation (TWh)'!J10)),"n/a",'Generation (TWh)'!J10*1000000/('Capacity (MW)'!I10*$C10)),"n/a")</f>
        <v/>
      </c>
      <c r="K10" s="37">
        <f>IFERROR(IF(OR(ISTEXT('Capacity (MW)'!J10),'Capacity (MW)'!J10=0,ISTEXT('Generation (TWh)'!K10)),"n/a",'Generation (TWh)'!K10*1000000/('Capacity (MW)'!J10*$C10)),"n/a")</f>
        <v/>
      </c>
      <c r="L10" s="37">
        <f>IFERROR(IF(OR(ISTEXT('Capacity (MW)'!K10),'Capacity (MW)'!K10=0,ISTEXT('Generation (TWh)'!L10)),"n/a",'Generation (TWh)'!L10*1000000/('Capacity (MW)'!K10*$C10)),"n/a")</f>
        <v/>
      </c>
      <c r="M10" s="37">
        <f>IFERROR(IF(OR(ISTEXT('Capacity (MW)'!L10),'Capacity (MW)'!L10=0,ISTEXT('Generation (TWh)'!M10)),"n/a",'Generation (TWh)'!M10*1000000/('Capacity (MW)'!L10*$C10)),"n/a")</f>
        <v/>
      </c>
      <c r="N10" s="37">
        <f>IFERROR(IF(OR(ISTEXT('Capacity (MW)'!M10),'Capacity (MW)'!M10=0,ISTEXT('Generation (TWh)'!N10)),"n/a",'Generation (TWh)'!N10*1000000/('Capacity (MW)'!M10*$C10)),"n/a")</f>
        <v/>
      </c>
      <c r="O10" s="37">
        <f>IFERROR(IF(OR(ISTEXT('Capacity (MW)'!N10),'Capacity (MW)'!N10=0,ISTEXT('Generation (TWh)'!O10)),"n/a",'Generation (TWh)'!O10*1000000/('Capacity (MW)'!N10*$C10)),"n/a")</f>
        <v/>
      </c>
      <c r="P10" s="37">
        <f>IFERROR(IF(OR(ISTEXT('Capacity (MW)'!O10),'Capacity (MW)'!O10=0,ISTEXT('Generation (TWh)'!P10)),"n/a",'Generation (TWh)'!P10*1000000/('Capacity (MW)'!O10*$C10)),"n/a")</f>
        <v/>
      </c>
    </row>
    <row r="11" ht="15" customHeight="1" s="22">
      <c r="A11" s="31" t="n">
        <v>2001</v>
      </c>
      <c r="B11" s="31" t="n">
        <v>3</v>
      </c>
      <c r="C11" s="31" t="n">
        <v>2208</v>
      </c>
      <c r="D11" s="37">
        <f>IFERROR(IF(OR(ISTEXT('Capacity (MW)'!C11),'Capacity (MW)'!C11=0,ISTEXT('Generation (TWh)'!D11)),"n/a",'Generation (TWh)'!D11*1000000/('Capacity (MW)'!C11*$C11)),"n/a")</f>
        <v/>
      </c>
      <c r="E11" s="37">
        <f>IFERROR(IF(OR(ISTEXT('Capacity (MW)'!D11),'Capacity (MW)'!D11=0,ISTEXT('Generation (TWh)'!E11)),"n/a",'Generation (TWh)'!E11*1000000/('Capacity (MW)'!D11*$C11)),"n/a")</f>
        <v/>
      </c>
      <c r="F11" s="37">
        <f>IFERROR(IF(OR(ISTEXT('Capacity (MW)'!E11),'Capacity (MW)'!E11=0,ISTEXT('Generation (TWh)'!F11)),"n/a",'Generation (TWh)'!F11*1000000/('Capacity (MW)'!E11*$C11)),"n/a")</f>
        <v/>
      </c>
      <c r="G11" s="37">
        <f>IFERROR(IF(OR(ISTEXT('Capacity (MW)'!F11),'Capacity (MW)'!F11=0,ISTEXT('Generation (TWh)'!G11)),"n/a",'Generation (TWh)'!G11*1000000/('Capacity (MW)'!F11*$C11)),"n/a")</f>
        <v/>
      </c>
      <c r="H11" s="37">
        <f>IFERROR(IF(OR(ISTEXT('Capacity (MW)'!G11),'Capacity (MW)'!G11=0,ISTEXT('Generation (TWh)'!H11)),"n/a",'Generation (TWh)'!H11*1000000/('Capacity (MW)'!G11*$C11)),"n/a")</f>
        <v/>
      </c>
      <c r="I11" s="37">
        <f>IFERROR(IF(OR(ISTEXT('Capacity (MW)'!H11),'Capacity (MW)'!H11=0,ISTEXT('Generation (TWh)'!I11)),"n/a",'Generation (TWh)'!I11*1000000/('Capacity (MW)'!H11*$C11)),"n/a")</f>
        <v/>
      </c>
      <c r="J11" s="37">
        <f>IFERROR(IF(OR(ISTEXT('Capacity (MW)'!I11),'Capacity (MW)'!I11=0,ISTEXT('Generation (TWh)'!J11)),"n/a",'Generation (TWh)'!J11*1000000/('Capacity (MW)'!I11*$C11)),"n/a")</f>
        <v/>
      </c>
      <c r="K11" s="37">
        <f>IFERROR(IF(OR(ISTEXT('Capacity (MW)'!J11),'Capacity (MW)'!J11=0,ISTEXT('Generation (TWh)'!K11)),"n/a",'Generation (TWh)'!K11*1000000/('Capacity (MW)'!J11*$C11)),"n/a")</f>
        <v/>
      </c>
      <c r="L11" s="37">
        <f>IFERROR(IF(OR(ISTEXT('Capacity (MW)'!K11),'Capacity (MW)'!K11=0,ISTEXT('Generation (TWh)'!L11)),"n/a",'Generation (TWh)'!L11*1000000/('Capacity (MW)'!K11*$C11)),"n/a")</f>
        <v/>
      </c>
      <c r="M11" s="37">
        <f>IFERROR(IF(OR(ISTEXT('Capacity (MW)'!L11),'Capacity (MW)'!L11=0,ISTEXT('Generation (TWh)'!M11)),"n/a",'Generation (TWh)'!M11*1000000/('Capacity (MW)'!L11*$C11)),"n/a")</f>
        <v/>
      </c>
      <c r="N11" s="37">
        <f>IFERROR(IF(OR(ISTEXT('Capacity (MW)'!M11),'Capacity (MW)'!M11=0,ISTEXT('Generation (TWh)'!N11)),"n/a",'Generation (TWh)'!N11*1000000/('Capacity (MW)'!M11*$C11)),"n/a")</f>
        <v/>
      </c>
      <c r="O11" s="37">
        <f>IFERROR(IF(OR(ISTEXT('Capacity (MW)'!N11),'Capacity (MW)'!N11=0,ISTEXT('Generation (TWh)'!O11)),"n/a",'Generation (TWh)'!O11*1000000/('Capacity (MW)'!N11*$C11)),"n/a")</f>
        <v/>
      </c>
      <c r="P11" s="37">
        <f>IFERROR(IF(OR(ISTEXT('Capacity (MW)'!O11),'Capacity (MW)'!O11=0,ISTEXT('Generation (TWh)'!P11)),"n/a",'Generation (TWh)'!P11*1000000/('Capacity (MW)'!O11*$C11)),"n/a")</f>
        <v/>
      </c>
    </row>
    <row r="12" ht="15" customHeight="1" s="22">
      <c r="A12" s="31" t="n">
        <v>2001</v>
      </c>
      <c r="B12" s="31" t="n">
        <v>4</v>
      </c>
      <c r="C12" s="31" t="n">
        <v>2208</v>
      </c>
      <c r="D12" s="37">
        <f>IFERROR(IF(OR(ISTEXT('Capacity (MW)'!C12),'Capacity (MW)'!C12=0,ISTEXT('Generation (TWh)'!D12)),"n/a",'Generation (TWh)'!D12*1000000/('Capacity (MW)'!C12*$C12)),"n/a")</f>
        <v/>
      </c>
      <c r="E12" s="37">
        <f>IFERROR(IF(OR(ISTEXT('Capacity (MW)'!D12),'Capacity (MW)'!D12=0,ISTEXT('Generation (TWh)'!E12)),"n/a",'Generation (TWh)'!E12*1000000/('Capacity (MW)'!D12*$C12)),"n/a")</f>
        <v/>
      </c>
      <c r="F12" s="37">
        <f>IFERROR(IF(OR(ISTEXT('Capacity (MW)'!E12),'Capacity (MW)'!E12=0,ISTEXT('Generation (TWh)'!F12)),"n/a",'Generation (TWh)'!F12*1000000/('Capacity (MW)'!E12*$C12)),"n/a")</f>
        <v/>
      </c>
      <c r="G12" s="37">
        <f>IFERROR(IF(OR(ISTEXT('Capacity (MW)'!F12),'Capacity (MW)'!F12=0,ISTEXT('Generation (TWh)'!G12)),"n/a",'Generation (TWh)'!G12*1000000/('Capacity (MW)'!F12*$C12)),"n/a")</f>
        <v/>
      </c>
      <c r="H12" s="37">
        <f>IFERROR(IF(OR(ISTEXT('Capacity (MW)'!G12),'Capacity (MW)'!G12=0,ISTEXT('Generation (TWh)'!H12)),"n/a",'Generation (TWh)'!H12*1000000/('Capacity (MW)'!G12*$C12)),"n/a")</f>
        <v/>
      </c>
      <c r="I12" s="37">
        <f>IFERROR(IF(OR(ISTEXT('Capacity (MW)'!H12),'Capacity (MW)'!H12=0,ISTEXT('Generation (TWh)'!I12)),"n/a",'Generation (TWh)'!I12*1000000/('Capacity (MW)'!H12*$C12)),"n/a")</f>
        <v/>
      </c>
      <c r="J12" s="37">
        <f>IFERROR(IF(OR(ISTEXT('Capacity (MW)'!I12),'Capacity (MW)'!I12=0,ISTEXT('Generation (TWh)'!J12)),"n/a",'Generation (TWh)'!J12*1000000/('Capacity (MW)'!I12*$C12)),"n/a")</f>
        <v/>
      </c>
      <c r="K12" s="37">
        <f>IFERROR(IF(OR(ISTEXT('Capacity (MW)'!J12),'Capacity (MW)'!J12=0,ISTEXT('Generation (TWh)'!K12)),"n/a",'Generation (TWh)'!K12*1000000/('Capacity (MW)'!J12*$C12)),"n/a")</f>
        <v/>
      </c>
      <c r="L12" s="37">
        <f>IFERROR(IF(OR(ISTEXT('Capacity (MW)'!K12),'Capacity (MW)'!K12=0,ISTEXT('Generation (TWh)'!L12)),"n/a",'Generation (TWh)'!L12*1000000/('Capacity (MW)'!K12*$C12)),"n/a")</f>
        <v/>
      </c>
      <c r="M12" s="37">
        <f>IFERROR(IF(OR(ISTEXT('Capacity (MW)'!L12),'Capacity (MW)'!L12=0,ISTEXT('Generation (TWh)'!M12)),"n/a",'Generation (TWh)'!M12*1000000/('Capacity (MW)'!L12*$C12)),"n/a")</f>
        <v/>
      </c>
      <c r="N12" s="37">
        <f>IFERROR(IF(OR(ISTEXT('Capacity (MW)'!M12),'Capacity (MW)'!M12=0,ISTEXT('Generation (TWh)'!N12)),"n/a",'Generation (TWh)'!N12*1000000/('Capacity (MW)'!M12*$C12)),"n/a")</f>
        <v/>
      </c>
      <c r="O12" s="37">
        <f>IFERROR(IF(OR(ISTEXT('Capacity (MW)'!N12),'Capacity (MW)'!N12=0,ISTEXT('Generation (TWh)'!O12)),"n/a",'Generation (TWh)'!O12*1000000/('Capacity (MW)'!N12*$C12)),"n/a")</f>
        <v/>
      </c>
      <c r="P12" s="37">
        <f>IFERROR(IF(OR(ISTEXT('Capacity (MW)'!O12),'Capacity (MW)'!O12=0,ISTEXT('Generation (TWh)'!P12)),"n/a",'Generation (TWh)'!P12*1000000/('Capacity (MW)'!O12*$C12)),"n/a")</f>
        <v/>
      </c>
    </row>
    <row r="13" ht="15" customHeight="1" s="22">
      <c r="A13" s="31" t="n">
        <v>2002</v>
      </c>
      <c r="B13" s="31" t="n">
        <v>1</v>
      </c>
      <c r="C13" s="31" t="n">
        <v>2160</v>
      </c>
      <c r="D13" s="37">
        <f>IFERROR(IF(OR(ISTEXT('Capacity (MW)'!C13),'Capacity (MW)'!C13=0,ISTEXT('Generation (TWh)'!D13)),"n/a",'Generation (TWh)'!D13*1000000/('Capacity (MW)'!C13*$C13)),"n/a")</f>
        <v/>
      </c>
      <c r="E13" s="37">
        <f>IFERROR(IF(OR(ISTEXT('Capacity (MW)'!D13),'Capacity (MW)'!D13=0,ISTEXT('Generation (TWh)'!E13)),"n/a",'Generation (TWh)'!E13*1000000/('Capacity (MW)'!D13*$C13)),"n/a")</f>
        <v/>
      </c>
      <c r="F13" s="37">
        <f>IFERROR(IF(OR(ISTEXT('Capacity (MW)'!E13),'Capacity (MW)'!E13=0,ISTEXT('Generation (TWh)'!F13)),"n/a",'Generation (TWh)'!F13*1000000/('Capacity (MW)'!E13*$C13)),"n/a")</f>
        <v/>
      </c>
      <c r="G13" s="37">
        <f>IFERROR(IF(OR(ISTEXT('Capacity (MW)'!F13),'Capacity (MW)'!F13=0,ISTEXT('Generation (TWh)'!G13)),"n/a",'Generation (TWh)'!G13*1000000/('Capacity (MW)'!F13*$C13)),"n/a")</f>
        <v/>
      </c>
      <c r="H13" s="37">
        <f>IFERROR(IF(OR(ISTEXT('Capacity (MW)'!G13),'Capacity (MW)'!G13=0,ISTEXT('Generation (TWh)'!H13)),"n/a",'Generation (TWh)'!H13*1000000/('Capacity (MW)'!G13*$C13)),"n/a")</f>
        <v/>
      </c>
      <c r="I13" s="37">
        <f>IFERROR(IF(OR(ISTEXT('Capacity (MW)'!H13),'Capacity (MW)'!H13=0,ISTEXT('Generation (TWh)'!I13)),"n/a",'Generation (TWh)'!I13*1000000/('Capacity (MW)'!H13*$C13)),"n/a")</f>
        <v/>
      </c>
      <c r="J13" s="37">
        <f>IFERROR(IF(OR(ISTEXT('Capacity (MW)'!I13),'Capacity (MW)'!I13=0,ISTEXT('Generation (TWh)'!J13)),"n/a",'Generation (TWh)'!J13*1000000/('Capacity (MW)'!I13*$C13)),"n/a")</f>
        <v/>
      </c>
      <c r="K13" s="37">
        <f>IFERROR(IF(OR(ISTEXT('Capacity (MW)'!J13),'Capacity (MW)'!J13=0,ISTEXT('Generation (TWh)'!K13)),"n/a",'Generation (TWh)'!K13*1000000/('Capacity (MW)'!J13*$C13)),"n/a")</f>
        <v/>
      </c>
      <c r="L13" s="37">
        <f>IFERROR(IF(OR(ISTEXT('Capacity (MW)'!K13),'Capacity (MW)'!K13=0,ISTEXT('Generation (TWh)'!L13)),"n/a",'Generation (TWh)'!L13*1000000/('Capacity (MW)'!K13*$C13)),"n/a")</f>
        <v/>
      </c>
      <c r="M13" s="37">
        <f>IFERROR(IF(OR(ISTEXT('Capacity (MW)'!L13),'Capacity (MW)'!L13=0,ISTEXT('Generation (TWh)'!M13)),"n/a",'Generation (TWh)'!M13*1000000/('Capacity (MW)'!L13*$C13)),"n/a")</f>
        <v/>
      </c>
      <c r="N13" s="37">
        <f>IFERROR(IF(OR(ISTEXT('Capacity (MW)'!M13),'Capacity (MW)'!M13=0,ISTEXT('Generation (TWh)'!N13)),"n/a",'Generation (TWh)'!N13*1000000/('Capacity (MW)'!M13*$C13)),"n/a")</f>
        <v/>
      </c>
      <c r="O13" s="37">
        <f>IFERROR(IF(OR(ISTEXT('Capacity (MW)'!N13),'Capacity (MW)'!N13=0,ISTEXT('Generation (TWh)'!O13)),"n/a",'Generation (TWh)'!O13*1000000/('Capacity (MW)'!N13*$C13)),"n/a")</f>
        <v/>
      </c>
      <c r="P13" s="37">
        <f>IFERROR(IF(OR(ISTEXT('Capacity (MW)'!O13),'Capacity (MW)'!O13=0,ISTEXT('Generation (TWh)'!P13)),"n/a",'Generation (TWh)'!P13*1000000/('Capacity (MW)'!O13*$C13)),"n/a")</f>
        <v/>
      </c>
    </row>
    <row r="14" ht="15" customHeight="1" s="22">
      <c r="A14" s="31" t="n">
        <v>2002</v>
      </c>
      <c r="B14" s="31" t="n">
        <v>2</v>
      </c>
      <c r="C14" s="31" t="n">
        <v>2184</v>
      </c>
      <c r="D14" s="37">
        <f>IFERROR(IF(OR(ISTEXT('Capacity (MW)'!C14),'Capacity (MW)'!C14=0,ISTEXT('Generation (TWh)'!D14)),"n/a",'Generation (TWh)'!D14*1000000/('Capacity (MW)'!C14*$C14)),"n/a")</f>
        <v/>
      </c>
      <c r="E14" s="37">
        <f>IFERROR(IF(OR(ISTEXT('Capacity (MW)'!D14),'Capacity (MW)'!D14=0,ISTEXT('Generation (TWh)'!E14)),"n/a",'Generation (TWh)'!E14*1000000/('Capacity (MW)'!D14*$C14)),"n/a")</f>
        <v/>
      </c>
      <c r="F14" s="37">
        <f>IFERROR(IF(OR(ISTEXT('Capacity (MW)'!E14),'Capacity (MW)'!E14=0,ISTEXT('Generation (TWh)'!F14)),"n/a",'Generation (TWh)'!F14*1000000/('Capacity (MW)'!E14*$C14)),"n/a")</f>
        <v/>
      </c>
      <c r="G14" s="37">
        <f>IFERROR(IF(OR(ISTEXT('Capacity (MW)'!F14),'Capacity (MW)'!F14=0,ISTEXT('Generation (TWh)'!G14)),"n/a",'Generation (TWh)'!G14*1000000/('Capacity (MW)'!F14*$C14)),"n/a")</f>
        <v/>
      </c>
      <c r="H14" s="37">
        <f>IFERROR(IF(OR(ISTEXT('Capacity (MW)'!G14),'Capacity (MW)'!G14=0,ISTEXT('Generation (TWh)'!H14)),"n/a",'Generation (TWh)'!H14*1000000/('Capacity (MW)'!G14*$C14)),"n/a")</f>
        <v/>
      </c>
      <c r="I14" s="37">
        <f>IFERROR(IF(OR(ISTEXT('Capacity (MW)'!H14),'Capacity (MW)'!H14=0,ISTEXT('Generation (TWh)'!I14)),"n/a",'Generation (TWh)'!I14*1000000/('Capacity (MW)'!H14*$C14)),"n/a")</f>
        <v/>
      </c>
      <c r="J14" s="37">
        <f>IFERROR(IF(OR(ISTEXT('Capacity (MW)'!I14),'Capacity (MW)'!I14=0,ISTEXT('Generation (TWh)'!J14)),"n/a",'Generation (TWh)'!J14*1000000/('Capacity (MW)'!I14*$C14)),"n/a")</f>
        <v/>
      </c>
      <c r="K14" s="37">
        <f>IFERROR(IF(OR(ISTEXT('Capacity (MW)'!J14),'Capacity (MW)'!J14=0,ISTEXT('Generation (TWh)'!K14)),"n/a",'Generation (TWh)'!K14*1000000/('Capacity (MW)'!J14*$C14)),"n/a")</f>
        <v/>
      </c>
      <c r="L14" s="37">
        <f>IFERROR(IF(OR(ISTEXT('Capacity (MW)'!K14),'Capacity (MW)'!K14=0,ISTEXT('Generation (TWh)'!L14)),"n/a",'Generation (TWh)'!L14*1000000/('Capacity (MW)'!K14*$C14)),"n/a")</f>
        <v/>
      </c>
      <c r="M14" s="37">
        <f>IFERROR(IF(OR(ISTEXT('Capacity (MW)'!L14),'Capacity (MW)'!L14=0,ISTEXT('Generation (TWh)'!M14)),"n/a",'Generation (TWh)'!M14*1000000/('Capacity (MW)'!L14*$C14)),"n/a")</f>
        <v/>
      </c>
      <c r="N14" s="37">
        <f>IFERROR(IF(OR(ISTEXT('Capacity (MW)'!M14),'Capacity (MW)'!M14=0,ISTEXT('Generation (TWh)'!N14)),"n/a",'Generation (TWh)'!N14*1000000/('Capacity (MW)'!M14*$C14)),"n/a")</f>
        <v/>
      </c>
      <c r="O14" s="37">
        <f>IFERROR(IF(OR(ISTEXT('Capacity (MW)'!N14),'Capacity (MW)'!N14=0,ISTEXT('Generation (TWh)'!O14)),"n/a",'Generation (TWh)'!O14*1000000/('Capacity (MW)'!N14*$C14)),"n/a")</f>
        <v/>
      </c>
      <c r="P14" s="37">
        <f>IFERROR(IF(OR(ISTEXT('Capacity (MW)'!O14),'Capacity (MW)'!O14=0,ISTEXT('Generation (TWh)'!P14)),"n/a",'Generation (TWh)'!P14*1000000/('Capacity (MW)'!O14*$C14)),"n/a")</f>
        <v/>
      </c>
    </row>
    <row r="15" ht="15" customHeight="1" s="22">
      <c r="A15" s="31" t="n">
        <v>2002</v>
      </c>
      <c r="B15" s="31" t="n">
        <v>3</v>
      </c>
      <c r="C15" s="31" t="n">
        <v>2208</v>
      </c>
      <c r="D15" s="37">
        <f>IFERROR(IF(OR(ISTEXT('Capacity (MW)'!C15),'Capacity (MW)'!C15=0,ISTEXT('Generation (TWh)'!D15)),"n/a",'Generation (TWh)'!D15*1000000/('Capacity (MW)'!C15*$C15)),"n/a")</f>
        <v/>
      </c>
      <c r="E15" s="37">
        <f>IFERROR(IF(OR(ISTEXT('Capacity (MW)'!D15),'Capacity (MW)'!D15=0,ISTEXT('Generation (TWh)'!E15)),"n/a",'Generation (TWh)'!E15*1000000/('Capacity (MW)'!D15*$C15)),"n/a")</f>
        <v/>
      </c>
      <c r="F15" s="37">
        <f>IFERROR(IF(OR(ISTEXT('Capacity (MW)'!E15),'Capacity (MW)'!E15=0,ISTEXT('Generation (TWh)'!F15)),"n/a",'Generation (TWh)'!F15*1000000/('Capacity (MW)'!E15*$C15)),"n/a")</f>
        <v/>
      </c>
      <c r="G15" s="37">
        <f>IFERROR(IF(OR(ISTEXT('Capacity (MW)'!F15),'Capacity (MW)'!F15=0,ISTEXT('Generation (TWh)'!G15)),"n/a",'Generation (TWh)'!G15*1000000/('Capacity (MW)'!F15*$C15)),"n/a")</f>
        <v/>
      </c>
      <c r="H15" s="37">
        <f>IFERROR(IF(OR(ISTEXT('Capacity (MW)'!G15),'Capacity (MW)'!G15=0,ISTEXT('Generation (TWh)'!H15)),"n/a",'Generation (TWh)'!H15*1000000/('Capacity (MW)'!G15*$C15)),"n/a")</f>
        <v/>
      </c>
      <c r="I15" s="37">
        <f>IFERROR(IF(OR(ISTEXT('Capacity (MW)'!H15),'Capacity (MW)'!H15=0,ISTEXT('Generation (TWh)'!I15)),"n/a",'Generation (TWh)'!I15*1000000/('Capacity (MW)'!H15*$C15)),"n/a")</f>
        <v/>
      </c>
      <c r="J15" s="37">
        <f>IFERROR(IF(OR(ISTEXT('Capacity (MW)'!I15),'Capacity (MW)'!I15=0,ISTEXT('Generation (TWh)'!J15)),"n/a",'Generation (TWh)'!J15*1000000/('Capacity (MW)'!I15*$C15)),"n/a")</f>
        <v/>
      </c>
      <c r="K15" s="37">
        <f>IFERROR(IF(OR(ISTEXT('Capacity (MW)'!J15),'Capacity (MW)'!J15=0,ISTEXT('Generation (TWh)'!K15)),"n/a",'Generation (TWh)'!K15*1000000/('Capacity (MW)'!J15*$C15)),"n/a")</f>
        <v/>
      </c>
      <c r="L15" s="37">
        <f>IFERROR(IF(OR(ISTEXT('Capacity (MW)'!K15),'Capacity (MW)'!K15=0,ISTEXT('Generation (TWh)'!L15)),"n/a",'Generation (TWh)'!L15*1000000/('Capacity (MW)'!K15*$C15)),"n/a")</f>
        <v/>
      </c>
      <c r="M15" s="37">
        <f>IFERROR(IF(OR(ISTEXT('Capacity (MW)'!L15),'Capacity (MW)'!L15=0,ISTEXT('Generation (TWh)'!M15)),"n/a",'Generation (TWh)'!M15*1000000/('Capacity (MW)'!L15*$C15)),"n/a")</f>
        <v/>
      </c>
      <c r="N15" s="37">
        <f>IFERROR(IF(OR(ISTEXT('Capacity (MW)'!M15),'Capacity (MW)'!M15=0,ISTEXT('Generation (TWh)'!N15)),"n/a",'Generation (TWh)'!N15*1000000/('Capacity (MW)'!M15*$C15)),"n/a")</f>
        <v/>
      </c>
      <c r="O15" s="37">
        <f>IFERROR(IF(OR(ISTEXT('Capacity (MW)'!N15),'Capacity (MW)'!N15=0,ISTEXT('Generation (TWh)'!O15)),"n/a",'Generation (TWh)'!O15*1000000/('Capacity (MW)'!N15*$C15)),"n/a")</f>
        <v/>
      </c>
      <c r="P15" s="37">
        <f>IFERROR(IF(OR(ISTEXT('Capacity (MW)'!O15),'Capacity (MW)'!O15=0,ISTEXT('Generation (TWh)'!P15)),"n/a",'Generation (TWh)'!P15*1000000/('Capacity (MW)'!O15*$C15)),"n/a")</f>
        <v/>
      </c>
    </row>
    <row r="16" ht="15" customHeight="1" s="22">
      <c r="A16" s="31" t="n">
        <v>2002</v>
      </c>
      <c r="B16" s="31" t="n">
        <v>4</v>
      </c>
      <c r="C16" s="31" t="n">
        <v>2208</v>
      </c>
      <c r="D16" s="37">
        <f>IFERROR(IF(OR(ISTEXT('Capacity (MW)'!C16),'Capacity (MW)'!C16=0,ISTEXT('Generation (TWh)'!D16)),"n/a",'Generation (TWh)'!D16*1000000/('Capacity (MW)'!C16*$C16)),"n/a")</f>
        <v/>
      </c>
      <c r="E16" s="37">
        <f>IFERROR(IF(OR(ISTEXT('Capacity (MW)'!D16),'Capacity (MW)'!D16=0,ISTEXT('Generation (TWh)'!E16)),"n/a",'Generation (TWh)'!E16*1000000/('Capacity (MW)'!D16*$C16)),"n/a")</f>
        <v/>
      </c>
      <c r="F16" s="37">
        <f>IFERROR(IF(OR(ISTEXT('Capacity (MW)'!E16),'Capacity (MW)'!E16=0,ISTEXT('Generation (TWh)'!F16)),"n/a",'Generation (TWh)'!F16*1000000/('Capacity (MW)'!E16*$C16)),"n/a")</f>
        <v/>
      </c>
      <c r="G16" s="37">
        <f>IFERROR(IF(OR(ISTEXT('Capacity (MW)'!F16),'Capacity (MW)'!F16=0,ISTEXT('Generation (TWh)'!G16)),"n/a",'Generation (TWh)'!G16*1000000/('Capacity (MW)'!F16*$C16)),"n/a")</f>
        <v/>
      </c>
      <c r="H16" s="37">
        <f>IFERROR(IF(OR(ISTEXT('Capacity (MW)'!G16),'Capacity (MW)'!G16=0,ISTEXT('Generation (TWh)'!H16)),"n/a",'Generation (TWh)'!H16*1000000/('Capacity (MW)'!G16*$C16)),"n/a")</f>
        <v/>
      </c>
      <c r="I16" s="37">
        <f>IFERROR(IF(OR(ISTEXT('Capacity (MW)'!H16),'Capacity (MW)'!H16=0,ISTEXT('Generation (TWh)'!I16)),"n/a",'Generation (TWh)'!I16*1000000/('Capacity (MW)'!H16*$C16)),"n/a")</f>
        <v/>
      </c>
      <c r="J16" s="37">
        <f>IFERROR(IF(OR(ISTEXT('Capacity (MW)'!I16),'Capacity (MW)'!I16=0,ISTEXT('Generation (TWh)'!J16)),"n/a",'Generation (TWh)'!J16*1000000/('Capacity (MW)'!I16*$C16)),"n/a")</f>
        <v/>
      </c>
      <c r="K16" s="37">
        <f>IFERROR(IF(OR(ISTEXT('Capacity (MW)'!J16),'Capacity (MW)'!J16=0,ISTEXT('Generation (TWh)'!K16)),"n/a",'Generation (TWh)'!K16*1000000/('Capacity (MW)'!J16*$C16)),"n/a")</f>
        <v/>
      </c>
      <c r="L16" s="37">
        <f>IFERROR(IF(OR(ISTEXT('Capacity (MW)'!K16),'Capacity (MW)'!K16=0,ISTEXT('Generation (TWh)'!L16)),"n/a",'Generation (TWh)'!L16*1000000/('Capacity (MW)'!K16*$C16)),"n/a")</f>
        <v/>
      </c>
      <c r="M16" s="37">
        <f>IFERROR(IF(OR(ISTEXT('Capacity (MW)'!L16),'Capacity (MW)'!L16=0,ISTEXT('Generation (TWh)'!M16)),"n/a",'Generation (TWh)'!M16*1000000/('Capacity (MW)'!L16*$C16)),"n/a")</f>
        <v/>
      </c>
      <c r="N16" s="37">
        <f>IFERROR(IF(OR(ISTEXT('Capacity (MW)'!M16),'Capacity (MW)'!M16=0,ISTEXT('Generation (TWh)'!N16)),"n/a",'Generation (TWh)'!N16*1000000/('Capacity (MW)'!M16*$C16)),"n/a")</f>
        <v/>
      </c>
      <c r="O16" s="37">
        <f>IFERROR(IF(OR(ISTEXT('Capacity (MW)'!N16),'Capacity (MW)'!N16=0,ISTEXT('Generation (TWh)'!O16)),"n/a",'Generation (TWh)'!O16*1000000/('Capacity (MW)'!N16*$C16)),"n/a")</f>
        <v/>
      </c>
      <c r="P16" s="37">
        <f>IFERROR(IF(OR(ISTEXT('Capacity (MW)'!O16),'Capacity (MW)'!O16=0,ISTEXT('Generation (TWh)'!P16)),"n/a",'Generation (TWh)'!P16*1000000/('Capacity (MW)'!O16*$C16)),"n/a")</f>
        <v/>
      </c>
    </row>
    <row r="17" ht="15" customHeight="1" s="22">
      <c r="A17" s="31" t="n">
        <v>2003</v>
      </c>
      <c r="B17" s="31" t="n">
        <v>1</v>
      </c>
      <c r="C17" s="31" t="n">
        <v>2160</v>
      </c>
      <c r="D17" s="37">
        <f>IFERROR(IF(OR(ISTEXT('Capacity (MW)'!C17),'Capacity (MW)'!C17=0,ISTEXT('Generation (TWh)'!D17)),"n/a",'Generation (TWh)'!D17*1000000/('Capacity (MW)'!C17*$C17)),"n/a")</f>
        <v/>
      </c>
      <c r="E17" s="37">
        <f>IFERROR(IF(OR(ISTEXT('Capacity (MW)'!D17),'Capacity (MW)'!D17=0,ISTEXT('Generation (TWh)'!E17)),"n/a",'Generation (TWh)'!E17*1000000/('Capacity (MW)'!D17*$C17)),"n/a")</f>
        <v/>
      </c>
      <c r="F17" s="37">
        <f>IFERROR(IF(OR(ISTEXT('Capacity (MW)'!E17),'Capacity (MW)'!E17=0,ISTEXT('Generation (TWh)'!F17)),"n/a",'Generation (TWh)'!F17*1000000/('Capacity (MW)'!E17*$C17)),"n/a")</f>
        <v/>
      </c>
      <c r="G17" s="37">
        <f>IFERROR(IF(OR(ISTEXT('Capacity (MW)'!F17),'Capacity (MW)'!F17=0,ISTEXT('Generation (TWh)'!G17)),"n/a",'Generation (TWh)'!G17*1000000/('Capacity (MW)'!F17*$C17)),"n/a")</f>
        <v/>
      </c>
      <c r="H17" s="37">
        <f>IFERROR(IF(OR(ISTEXT('Capacity (MW)'!G17),'Capacity (MW)'!G17=0,ISTEXT('Generation (TWh)'!H17)),"n/a",'Generation (TWh)'!H17*1000000/('Capacity (MW)'!G17*$C17)),"n/a")</f>
        <v/>
      </c>
      <c r="I17" s="37">
        <f>IFERROR(IF(OR(ISTEXT('Capacity (MW)'!H17),'Capacity (MW)'!H17=0,ISTEXT('Generation (TWh)'!I17)),"n/a",'Generation (TWh)'!I17*1000000/('Capacity (MW)'!H17*$C17)),"n/a")</f>
        <v/>
      </c>
      <c r="J17" s="37">
        <f>IFERROR(IF(OR(ISTEXT('Capacity (MW)'!I17),'Capacity (MW)'!I17=0,ISTEXT('Generation (TWh)'!J17)),"n/a",'Generation (TWh)'!J17*1000000/('Capacity (MW)'!I17*$C17)),"n/a")</f>
        <v/>
      </c>
      <c r="K17" s="37">
        <f>IFERROR(IF(OR(ISTEXT('Capacity (MW)'!J17),'Capacity (MW)'!J17=0,ISTEXT('Generation (TWh)'!K17)),"n/a",'Generation (TWh)'!K17*1000000/('Capacity (MW)'!J17*$C17)),"n/a")</f>
        <v/>
      </c>
      <c r="L17" s="37">
        <f>IFERROR(IF(OR(ISTEXT('Capacity (MW)'!K17),'Capacity (MW)'!K17=0,ISTEXT('Generation (TWh)'!L17)),"n/a",'Generation (TWh)'!L17*1000000/('Capacity (MW)'!K17*$C17)),"n/a")</f>
        <v/>
      </c>
      <c r="M17" s="37">
        <f>IFERROR(IF(OR(ISTEXT('Capacity (MW)'!L17),'Capacity (MW)'!L17=0,ISTEXT('Generation (TWh)'!M17)),"n/a",'Generation (TWh)'!M17*1000000/('Capacity (MW)'!L17*$C17)),"n/a")</f>
        <v/>
      </c>
      <c r="N17" s="37">
        <f>IFERROR(IF(OR(ISTEXT('Capacity (MW)'!M17),'Capacity (MW)'!M17=0,ISTEXT('Generation (TWh)'!N17)),"n/a",'Generation (TWh)'!N17*1000000/('Capacity (MW)'!M17*$C17)),"n/a")</f>
        <v/>
      </c>
      <c r="O17" s="37">
        <f>IFERROR(IF(OR(ISTEXT('Capacity (MW)'!N17),'Capacity (MW)'!N17=0,ISTEXT('Generation (TWh)'!O17)),"n/a",'Generation (TWh)'!O17*1000000/('Capacity (MW)'!N17*$C17)),"n/a")</f>
        <v/>
      </c>
      <c r="P17" s="37">
        <f>IFERROR(IF(OR(ISTEXT('Capacity (MW)'!O17),'Capacity (MW)'!O17=0,ISTEXT('Generation (TWh)'!P17)),"n/a",'Generation (TWh)'!P17*1000000/('Capacity (MW)'!O17*$C17)),"n/a")</f>
        <v/>
      </c>
    </row>
    <row r="18" ht="15" customHeight="1" s="22">
      <c r="A18" s="31" t="n">
        <v>2003</v>
      </c>
      <c r="B18" s="31" t="n">
        <v>2</v>
      </c>
      <c r="C18" s="31" t="n">
        <v>2184</v>
      </c>
      <c r="D18" s="37">
        <f>IFERROR(IF(OR(ISTEXT('Capacity (MW)'!C18),'Capacity (MW)'!C18=0,ISTEXT('Generation (TWh)'!D18)),"n/a",'Generation (TWh)'!D18*1000000/('Capacity (MW)'!C18*$C18)),"n/a")</f>
        <v/>
      </c>
      <c r="E18" s="37">
        <f>IFERROR(IF(OR(ISTEXT('Capacity (MW)'!D18),'Capacity (MW)'!D18=0,ISTEXT('Generation (TWh)'!E18)),"n/a",'Generation (TWh)'!E18*1000000/('Capacity (MW)'!D18*$C18)),"n/a")</f>
        <v/>
      </c>
      <c r="F18" s="37">
        <f>IFERROR(IF(OR(ISTEXT('Capacity (MW)'!E18),'Capacity (MW)'!E18=0,ISTEXT('Generation (TWh)'!F18)),"n/a",'Generation (TWh)'!F18*1000000/('Capacity (MW)'!E18*$C18)),"n/a")</f>
        <v/>
      </c>
      <c r="G18" s="37">
        <f>IFERROR(IF(OR(ISTEXT('Capacity (MW)'!F18),'Capacity (MW)'!F18=0,ISTEXT('Generation (TWh)'!G18)),"n/a",'Generation (TWh)'!G18*1000000/('Capacity (MW)'!F18*$C18)),"n/a")</f>
        <v/>
      </c>
      <c r="H18" s="37">
        <f>IFERROR(IF(OR(ISTEXT('Capacity (MW)'!G18),'Capacity (MW)'!G18=0,ISTEXT('Generation (TWh)'!H18)),"n/a",'Generation (TWh)'!H18*1000000/('Capacity (MW)'!G18*$C18)),"n/a")</f>
        <v/>
      </c>
      <c r="I18" s="37">
        <f>IFERROR(IF(OR(ISTEXT('Capacity (MW)'!H18),'Capacity (MW)'!H18=0,ISTEXT('Generation (TWh)'!I18)),"n/a",'Generation (TWh)'!I18*1000000/('Capacity (MW)'!H18*$C18)),"n/a")</f>
        <v/>
      </c>
      <c r="J18" s="37">
        <f>IFERROR(IF(OR(ISTEXT('Capacity (MW)'!I18),'Capacity (MW)'!I18=0,ISTEXT('Generation (TWh)'!J18)),"n/a",'Generation (TWh)'!J18*1000000/('Capacity (MW)'!I18*$C18)),"n/a")</f>
        <v/>
      </c>
      <c r="K18" s="37">
        <f>IFERROR(IF(OR(ISTEXT('Capacity (MW)'!J18),'Capacity (MW)'!J18=0,ISTEXT('Generation (TWh)'!K18)),"n/a",'Generation (TWh)'!K18*1000000/('Capacity (MW)'!J18*$C18)),"n/a")</f>
        <v/>
      </c>
      <c r="L18" s="37">
        <f>IFERROR(IF(OR(ISTEXT('Capacity (MW)'!K18),'Capacity (MW)'!K18=0,ISTEXT('Generation (TWh)'!L18)),"n/a",'Generation (TWh)'!L18*1000000/('Capacity (MW)'!K18*$C18)),"n/a")</f>
        <v/>
      </c>
      <c r="M18" s="37">
        <f>IFERROR(IF(OR(ISTEXT('Capacity (MW)'!L18),'Capacity (MW)'!L18=0,ISTEXT('Generation (TWh)'!M18)),"n/a",'Generation (TWh)'!M18*1000000/('Capacity (MW)'!L18*$C18)),"n/a")</f>
        <v/>
      </c>
      <c r="N18" s="37">
        <f>IFERROR(IF(OR(ISTEXT('Capacity (MW)'!M18),'Capacity (MW)'!M18=0,ISTEXT('Generation (TWh)'!N18)),"n/a",'Generation (TWh)'!N18*1000000/('Capacity (MW)'!M18*$C18)),"n/a")</f>
        <v/>
      </c>
      <c r="O18" s="37">
        <f>IFERROR(IF(OR(ISTEXT('Capacity (MW)'!N18),'Capacity (MW)'!N18=0,ISTEXT('Generation (TWh)'!O18)),"n/a",'Generation (TWh)'!O18*1000000/('Capacity (MW)'!N18*$C18)),"n/a")</f>
        <v/>
      </c>
      <c r="P18" s="37">
        <f>IFERROR(IF(OR(ISTEXT('Capacity (MW)'!O18),'Capacity (MW)'!O18=0,ISTEXT('Generation (TWh)'!P18)),"n/a",'Generation (TWh)'!P18*1000000/('Capacity (MW)'!O18*$C18)),"n/a")</f>
        <v/>
      </c>
    </row>
    <row r="19" ht="15" customHeight="1" s="22">
      <c r="A19" s="31" t="n">
        <v>2003</v>
      </c>
      <c r="B19" s="31" t="n">
        <v>3</v>
      </c>
      <c r="C19" s="31" t="n">
        <v>2208</v>
      </c>
      <c r="D19" s="37">
        <f>IFERROR(IF(OR(ISTEXT('Capacity (MW)'!C19),'Capacity (MW)'!C19=0,ISTEXT('Generation (TWh)'!D19)),"n/a",'Generation (TWh)'!D19*1000000/('Capacity (MW)'!C19*$C19)),"n/a")</f>
        <v/>
      </c>
      <c r="E19" s="37">
        <f>IFERROR(IF(OR(ISTEXT('Capacity (MW)'!D19),'Capacity (MW)'!D19=0,ISTEXT('Generation (TWh)'!E19)),"n/a",'Generation (TWh)'!E19*1000000/('Capacity (MW)'!D19*$C19)),"n/a")</f>
        <v/>
      </c>
      <c r="F19" s="37">
        <f>IFERROR(IF(OR(ISTEXT('Capacity (MW)'!E19),'Capacity (MW)'!E19=0,ISTEXT('Generation (TWh)'!F19)),"n/a",'Generation (TWh)'!F19*1000000/('Capacity (MW)'!E19*$C19)),"n/a")</f>
        <v/>
      </c>
      <c r="G19" s="37">
        <f>IFERROR(IF(OR(ISTEXT('Capacity (MW)'!F19),'Capacity (MW)'!F19=0,ISTEXT('Generation (TWh)'!G19)),"n/a",'Generation (TWh)'!G19*1000000/('Capacity (MW)'!F19*$C19)),"n/a")</f>
        <v/>
      </c>
      <c r="H19" s="37">
        <f>IFERROR(IF(OR(ISTEXT('Capacity (MW)'!G19),'Capacity (MW)'!G19=0,ISTEXT('Generation (TWh)'!H19)),"n/a",'Generation (TWh)'!H19*1000000/('Capacity (MW)'!G19*$C19)),"n/a")</f>
        <v/>
      </c>
      <c r="I19" s="37">
        <f>IFERROR(IF(OR(ISTEXT('Capacity (MW)'!H19),'Capacity (MW)'!H19=0,ISTEXT('Generation (TWh)'!I19)),"n/a",'Generation (TWh)'!I19*1000000/('Capacity (MW)'!H19*$C19)),"n/a")</f>
        <v/>
      </c>
      <c r="J19" s="37">
        <f>IFERROR(IF(OR(ISTEXT('Capacity (MW)'!I19),'Capacity (MW)'!I19=0,ISTEXT('Generation (TWh)'!J19)),"n/a",'Generation (TWh)'!J19*1000000/('Capacity (MW)'!I19*$C19)),"n/a")</f>
        <v/>
      </c>
      <c r="K19" s="37">
        <f>IFERROR(IF(OR(ISTEXT('Capacity (MW)'!J19),'Capacity (MW)'!J19=0,ISTEXT('Generation (TWh)'!K19)),"n/a",'Generation (TWh)'!K19*1000000/('Capacity (MW)'!J19*$C19)),"n/a")</f>
        <v/>
      </c>
      <c r="L19" s="37">
        <f>IFERROR(IF(OR(ISTEXT('Capacity (MW)'!K19),'Capacity (MW)'!K19=0,ISTEXT('Generation (TWh)'!L19)),"n/a",'Generation (TWh)'!L19*1000000/('Capacity (MW)'!K19*$C19)),"n/a")</f>
        <v/>
      </c>
      <c r="M19" s="37">
        <f>IFERROR(IF(OR(ISTEXT('Capacity (MW)'!L19),'Capacity (MW)'!L19=0,ISTEXT('Generation (TWh)'!M19)),"n/a",'Generation (TWh)'!M19*1000000/('Capacity (MW)'!L19*$C19)),"n/a")</f>
        <v/>
      </c>
      <c r="N19" s="37">
        <f>IFERROR(IF(OR(ISTEXT('Capacity (MW)'!M19),'Capacity (MW)'!M19=0,ISTEXT('Generation (TWh)'!N19)),"n/a",'Generation (TWh)'!N19*1000000/('Capacity (MW)'!M19*$C19)),"n/a")</f>
        <v/>
      </c>
      <c r="O19" s="37">
        <f>IFERROR(IF(OR(ISTEXT('Capacity (MW)'!N19),'Capacity (MW)'!N19=0,ISTEXT('Generation (TWh)'!O19)),"n/a",'Generation (TWh)'!O19*1000000/('Capacity (MW)'!N19*$C19)),"n/a")</f>
        <v/>
      </c>
      <c r="P19" s="37">
        <f>IFERROR(IF(OR(ISTEXT('Capacity (MW)'!O19),'Capacity (MW)'!O19=0,ISTEXT('Generation (TWh)'!P19)),"n/a",'Generation (TWh)'!P19*1000000/('Capacity (MW)'!O19*$C19)),"n/a")</f>
        <v/>
      </c>
    </row>
    <row r="20" ht="15" customHeight="1" s="22">
      <c r="A20" s="31" t="n">
        <v>2003</v>
      </c>
      <c r="B20" s="31" t="n">
        <v>4</v>
      </c>
      <c r="C20" s="31" t="n">
        <v>2208</v>
      </c>
      <c r="D20" s="37">
        <f>IFERROR(IF(OR(ISTEXT('Capacity (MW)'!C20),'Capacity (MW)'!C20=0,ISTEXT('Generation (TWh)'!D20)),"n/a",'Generation (TWh)'!D20*1000000/('Capacity (MW)'!C20*$C20)),"n/a")</f>
        <v/>
      </c>
      <c r="E20" s="37">
        <f>IFERROR(IF(OR(ISTEXT('Capacity (MW)'!D20),'Capacity (MW)'!D20=0,ISTEXT('Generation (TWh)'!E20)),"n/a",'Generation (TWh)'!E20*1000000/('Capacity (MW)'!D20*$C20)),"n/a")</f>
        <v/>
      </c>
      <c r="F20" s="37">
        <f>IFERROR(IF(OR(ISTEXT('Capacity (MW)'!E20),'Capacity (MW)'!E20=0,ISTEXT('Generation (TWh)'!F20)),"n/a",'Generation (TWh)'!F20*1000000/('Capacity (MW)'!E20*$C20)),"n/a")</f>
        <v/>
      </c>
      <c r="G20" s="37">
        <f>IFERROR(IF(OR(ISTEXT('Capacity (MW)'!F20),'Capacity (MW)'!F20=0,ISTEXT('Generation (TWh)'!G20)),"n/a",'Generation (TWh)'!G20*1000000/('Capacity (MW)'!F20*$C20)),"n/a")</f>
        <v/>
      </c>
      <c r="H20" s="37">
        <f>IFERROR(IF(OR(ISTEXT('Capacity (MW)'!G20),'Capacity (MW)'!G20=0,ISTEXT('Generation (TWh)'!H20)),"n/a",'Generation (TWh)'!H20*1000000/('Capacity (MW)'!G20*$C20)),"n/a")</f>
        <v/>
      </c>
      <c r="I20" s="37">
        <f>IFERROR(IF(OR(ISTEXT('Capacity (MW)'!H20),'Capacity (MW)'!H20=0,ISTEXT('Generation (TWh)'!I20)),"n/a",'Generation (TWh)'!I20*1000000/('Capacity (MW)'!H20*$C20)),"n/a")</f>
        <v/>
      </c>
      <c r="J20" s="37">
        <f>IFERROR(IF(OR(ISTEXT('Capacity (MW)'!I20),'Capacity (MW)'!I20=0,ISTEXT('Generation (TWh)'!J20)),"n/a",'Generation (TWh)'!J20*1000000/('Capacity (MW)'!I20*$C20)),"n/a")</f>
        <v/>
      </c>
      <c r="K20" s="37">
        <f>IFERROR(IF(OR(ISTEXT('Capacity (MW)'!J20),'Capacity (MW)'!J20=0,ISTEXT('Generation (TWh)'!K20)),"n/a",'Generation (TWh)'!K20*1000000/('Capacity (MW)'!J20*$C20)),"n/a")</f>
        <v/>
      </c>
      <c r="L20" s="37">
        <f>IFERROR(IF(OR(ISTEXT('Capacity (MW)'!K20),'Capacity (MW)'!K20=0,ISTEXT('Generation (TWh)'!L20)),"n/a",'Generation (TWh)'!L20*1000000/('Capacity (MW)'!K20*$C20)),"n/a")</f>
        <v/>
      </c>
      <c r="M20" s="37">
        <f>IFERROR(IF(OR(ISTEXT('Capacity (MW)'!L20),'Capacity (MW)'!L20=0,ISTEXT('Generation (TWh)'!M20)),"n/a",'Generation (TWh)'!M20*1000000/('Capacity (MW)'!L20*$C20)),"n/a")</f>
        <v/>
      </c>
      <c r="N20" s="37">
        <f>IFERROR(IF(OR(ISTEXT('Capacity (MW)'!M20),'Capacity (MW)'!M20=0,ISTEXT('Generation (TWh)'!N20)),"n/a",'Generation (TWh)'!N20*1000000/('Capacity (MW)'!M20*$C20)),"n/a")</f>
        <v/>
      </c>
      <c r="O20" s="37">
        <f>IFERROR(IF(OR(ISTEXT('Capacity (MW)'!N20),'Capacity (MW)'!N20=0,ISTEXT('Generation (TWh)'!O20)),"n/a",'Generation (TWh)'!O20*1000000/('Capacity (MW)'!N20*$C20)),"n/a")</f>
        <v/>
      </c>
      <c r="P20" s="37">
        <f>IFERROR(IF(OR(ISTEXT('Capacity (MW)'!O20),'Capacity (MW)'!O20=0,ISTEXT('Generation (TWh)'!P20)),"n/a",'Generation (TWh)'!P20*1000000/('Capacity (MW)'!O20*$C20)),"n/a")</f>
        <v/>
      </c>
    </row>
    <row r="21" ht="15" customHeight="1" s="22">
      <c r="A21" s="31" t="n">
        <v>2004</v>
      </c>
      <c r="B21" s="31" t="n">
        <v>1</v>
      </c>
      <c r="C21" s="31" t="n">
        <v>2184</v>
      </c>
      <c r="D21" s="37">
        <f>IFERROR(IF(OR(ISTEXT('Capacity (MW)'!C21),'Capacity (MW)'!C21=0,ISTEXT('Generation (TWh)'!D21)),"n/a",'Generation (TWh)'!D21*1000000/('Capacity (MW)'!C21*$C21)),"n/a")</f>
        <v/>
      </c>
      <c r="E21" s="37">
        <f>IFERROR(IF(OR(ISTEXT('Capacity (MW)'!D21),'Capacity (MW)'!D21=0,ISTEXT('Generation (TWh)'!E21)),"n/a",'Generation (TWh)'!E21*1000000/('Capacity (MW)'!D21*$C21)),"n/a")</f>
        <v/>
      </c>
      <c r="F21" s="37">
        <f>IFERROR(IF(OR(ISTEXT('Capacity (MW)'!E21),'Capacity (MW)'!E21=0,ISTEXT('Generation (TWh)'!F21)),"n/a",'Generation (TWh)'!F21*1000000/('Capacity (MW)'!E21*$C21)),"n/a")</f>
        <v/>
      </c>
      <c r="G21" s="37">
        <f>IFERROR(IF(OR(ISTEXT('Capacity (MW)'!F21),'Capacity (MW)'!F21=0,ISTEXT('Generation (TWh)'!G21)),"n/a",'Generation (TWh)'!G21*1000000/('Capacity (MW)'!F21*$C21)),"n/a")</f>
        <v/>
      </c>
      <c r="H21" s="37">
        <f>IFERROR(IF(OR(ISTEXT('Capacity (MW)'!G21),'Capacity (MW)'!G21=0,ISTEXT('Generation (TWh)'!H21)),"n/a",'Generation (TWh)'!H21*1000000/('Capacity (MW)'!G21*$C21)),"n/a")</f>
        <v/>
      </c>
      <c r="I21" s="37">
        <f>IFERROR(IF(OR(ISTEXT('Capacity (MW)'!H21),'Capacity (MW)'!H21=0,ISTEXT('Generation (TWh)'!I21)),"n/a",'Generation (TWh)'!I21*1000000/('Capacity (MW)'!H21*$C21)),"n/a")</f>
        <v/>
      </c>
      <c r="J21" s="37">
        <f>IFERROR(IF(OR(ISTEXT('Capacity (MW)'!I21),'Capacity (MW)'!I21=0,ISTEXT('Generation (TWh)'!J21)),"n/a",'Generation (TWh)'!J21*1000000/('Capacity (MW)'!I21*$C21)),"n/a")</f>
        <v/>
      </c>
      <c r="K21" s="37">
        <f>IFERROR(IF(OR(ISTEXT('Capacity (MW)'!J21),'Capacity (MW)'!J21=0,ISTEXT('Generation (TWh)'!K21)),"n/a",'Generation (TWh)'!K21*1000000/('Capacity (MW)'!J21*$C21)),"n/a")</f>
        <v/>
      </c>
      <c r="L21" s="37">
        <f>IFERROR(IF(OR(ISTEXT('Capacity (MW)'!K21),'Capacity (MW)'!K21=0,ISTEXT('Generation (TWh)'!L21)),"n/a",'Generation (TWh)'!L21*1000000/('Capacity (MW)'!K21*$C21)),"n/a")</f>
        <v/>
      </c>
      <c r="M21" s="37">
        <f>IFERROR(IF(OR(ISTEXT('Capacity (MW)'!L21),'Capacity (MW)'!L21=0,ISTEXT('Generation (TWh)'!M21)),"n/a",'Generation (TWh)'!M21*1000000/('Capacity (MW)'!L21*$C21)),"n/a")</f>
        <v/>
      </c>
      <c r="N21" s="37">
        <f>IFERROR(IF(OR(ISTEXT('Capacity (MW)'!M21),'Capacity (MW)'!M21=0,ISTEXT('Generation (TWh)'!N21)),"n/a",'Generation (TWh)'!N21*1000000/('Capacity (MW)'!M21*$C21)),"n/a")</f>
        <v/>
      </c>
      <c r="O21" s="37">
        <f>IFERROR(IF(OR(ISTEXT('Capacity (MW)'!N21),'Capacity (MW)'!N21=0,ISTEXT('Generation (TWh)'!O21)),"n/a",'Generation (TWh)'!O21*1000000/('Capacity (MW)'!N21*$C21)),"n/a")</f>
        <v/>
      </c>
      <c r="P21" s="37">
        <f>IFERROR(IF(OR(ISTEXT('Capacity (MW)'!O21),'Capacity (MW)'!O21=0,ISTEXT('Generation (TWh)'!P21)),"n/a",'Generation (TWh)'!P21*1000000/('Capacity (MW)'!O21*$C21)),"n/a")</f>
        <v/>
      </c>
    </row>
    <row r="22" ht="15" customHeight="1" s="22">
      <c r="A22" s="31" t="n">
        <v>2004</v>
      </c>
      <c r="B22" s="31" t="n">
        <v>2</v>
      </c>
      <c r="C22" s="31" t="n">
        <v>2184</v>
      </c>
      <c r="D22" s="37">
        <f>IFERROR(IF(OR(ISTEXT('Capacity (MW)'!C22),'Capacity (MW)'!C22=0,ISTEXT('Generation (TWh)'!D22)),"n/a",'Generation (TWh)'!D22*1000000/('Capacity (MW)'!C22*$C22)),"n/a")</f>
        <v/>
      </c>
      <c r="E22" s="37">
        <f>IFERROR(IF(OR(ISTEXT('Capacity (MW)'!D22),'Capacity (MW)'!D22=0,ISTEXT('Generation (TWh)'!E22)),"n/a",'Generation (TWh)'!E22*1000000/('Capacity (MW)'!D22*$C22)),"n/a")</f>
        <v/>
      </c>
      <c r="F22" s="37">
        <f>IFERROR(IF(OR(ISTEXT('Capacity (MW)'!E22),'Capacity (MW)'!E22=0,ISTEXT('Generation (TWh)'!F22)),"n/a",'Generation (TWh)'!F22*1000000/('Capacity (MW)'!E22*$C22)),"n/a")</f>
        <v/>
      </c>
      <c r="G22" s="37">
        <f>IFERROR(IF(OR(ISTEXT('Capacity (MW)'!F22),'Capacity (MW)'!F22=0,ISTEXT('Generation (TWh)'!G22)),"n/a",'Generation (TWh)'!G22*1000000/('Capacity (MW)'!F22*$C22)),"n/a")</f>
        <v/>
      </c>
      <c r="H22" s="37">
        <f>IFERROR(IF(OR(ISTEXT('Capacity (MW)'!G22),'Capacity (MW)'!G22=0,ISTEXT('Generation (TWh)'!H22)),"n/a",'Generation (TWh)'!H22*1000000/('Capacity (MW)'!G22*$C22)),"n/a")</f>
        <v/>
      </c>
      <c r="I22" s="37">
        <f>IFERROR(IF(OR(ISTEXT('Capacity (MW)'!H22),'Capacity (MW)'!H22=0,ISTEXT('Generation (TWh)'!I22)),"n/a",'Generation (TWh)'!I22*1000000/('Capacity (MW)'!H22*$C22)),"n/a")</f>
        <v/>
      </c>
      <c r="J22" s="37">
        <f>IFERROR(IF(OR(ISTEXT('Capacity (MW)'!I22),'Capacity (MW)'!I22=0,ISTEXT('Generation (TWh)'!J22)),"n/a",'Generation (TWh)'!J22*1000000/('Capacity (MW)'!I22*$C22)),"n/a")</f>
        <v/>
      </c>
      <c r="K22" s="37">
        <f>IFERROR(IF(OR(ISTEXT('Capacity (MW)'!J22),'Capacity (MW)'!J22=0,ISTEXT('Generation (TWh)'!K22)),"n/a",'Generation (TWh)'!K22*1000000/('Capacity (MW)'!J22*$C22)),"n/a")</f>
        <v/>
      </c>
      <c r="L22" s="37">
        <f>IFERROR(IF(OR(ISTEXT('Capacity (MW)'!K22),'Capacity (MW)'!K22=0,ISTEXT('Generation (TWh)'!L22)),"n/a",'Generation (TWh)'!L22*1000000/('Capacity (MW)'!K22*$C22)),"n/a")</f>
        <v/>
      </c>
      <c r="M22" s="37">
        <f>IFERROR(IF(OR(ISTEXT('Capacity (MW)'!L22),'Capacity (MW)'!L22=0,ISTEXT('Generation (TWh)'!M22)),"n/a",'Generation (TWh)'!M22*1000000/('Capacity (MW)'!L22*$C22)),"n/a")</f>
        <v/>
      </c>
      <c r="N22" s="37">
        <f>IFERROR(IF(OR(ISTEXT('Capacity (MW)'!M22),'Capacity (MW)'!M22=0,ISTEXT('Generation (TWh)'!N22)),"n/a",'Generation (TWh)'!N22*1000000/('Capacity (MW)'!M22*$C22)),"n/a")</f>
        <v/>
      </c>
      <c r="O22" s="37">
        <f>IFERROR(IF(OR(ISTEXT('Capacity (MW)'!N22),'Capacity (MW)'!N22=0,ISTEXT('Generation (TWh)'!O22)),"n/a",'Generation (TWh)'!O22*1000000/('Capacity (MW)'!N22*$C22)),"n/a")</f>
        <v/>
      </c>
      <c r="P22" s="37">
        <f>IFERROR(IF(OR(ISTEXT('Capacity (MW)'!O22),'Capacity (MW)'!O22=0,ISTEXT('Generation (TWh)'!P22)),"n/a",'Generation (TWh)'!P22*1000000/('Capacity (MW)'!O22*$C22)),"n/a")</f>
        <v/>
      </c>
    </row>
    <row r="23" ht="15" customHeight="1" s="22">
      <c r="A23" s="31" t="n">
        <v>2004</v>
      </c>
      <c r="B23" s="31" t="n">
        <v>3</v>
      </c>
      <c r="C23" s="31" t="n">
        <v>2208</v>
      </c>
      <c r="D23" s="37">
        <f>IFERROR(IF(OR(ISTEXT('Capacity (MW)'!C23),'Capacity (MW)'!C23=0,ISTEXT('Generation (TWh)'!D23)),"n/a",'Generation (TWh)'!D23*1000000/('Capacity (MW)'!C23*$C23)),"n/a")</f>
        <v/>
      </c>
      <c r="E23" s="37">
        <f>IFERROR(IF(OR(ISTEXT('Capacity (MW)'!D23),'Capacity (MW)'!D23=0,ISTEXT('Generation (TWh)'!E23)),"n/a",'Generation (TWh)'!E23*1000000/('Capacity (MW)'!D23*$C23)),"n/a")</f>
        <v/>
      </c>
      <c r="F23" s="37">
        <f>IFERROR(IF(OR(ISTEXT('Capacity (MW)'!E23),'Capacity (MW)'!E23=0,ISTEXT('Generation (TWh)'!F23)),"n/a",'Generation (TWh)'!F23*1000000/('Capacity (MW)'!E23*$C23)),"n/a")</f>
        <v/>
      </c>
      <c r="G23" s="37">
        <f>IFERROR(IF(OR(ISTEXT('Capacity (MW)'!F23),'Capacity (MW)'!F23=0,ISTEXT('Generation (TWh)'!G23)),"n/a",'Generation (TWh)'!G23*1000000/('Capacity (MW)'!F23*$C23)),"n/a")</f>
        <v/>
      </c>
      <c r="H23" s="37">
        <f>IFERROR(IF(OR(ISTEXT('Capacity (MW)'!G23),'Capacity (MW)'!G23=0,ISTEXT('Generation (TWh)'!H23)),"n/a",'Generation (TWh)'!H23*1000000/('Capacity (MW)'!G23*$C23)),"n/a")</f>
        <v/>
      </c>
      <c r="I23" s="37">
        <f>IFERROR(IF(OR(ISTEXT('Capacity (MW)'!H23),'Capacity (MW)'!H23=0,ISTEXT('Generation (TWh)'!I23)),"n/a",'Generation (TWh)'!I23*1000000/('Capacity (MW)'!H23*$C23)),"n/a")</f>
        <v/>
      </c>
      <c r="J23" s="37">
        <f>IFERROR(IF(OR(ISTEXT('Capacity (MW)'!I23),'Capacity (MW)'!I23=0,ISTEXT('Generation (TWh)'!J23)),"n/a",'Generation (TWh)'!J23*1000000/('Capacity (MW)'!I23*$C23)),"n/a")</f>
        <v/>
      </c>
      <c r="K23" s="37">
        <f>IFERROR(IF(OR(ISTEXT('Capacity (MW)'!J23),'Capacity (MW)'!J23=0,ISTEXT('Generation (TWh)'!K23)),"n/a",'Generation (TWh)'!K23*1000000/('Capacity (MW)'!J23*$C23)),"n/a")</f>
        <v/>
      </c>
      <c r="L23" s="37">
        <f>IFERROR(IF(OR(ISTEXT('Capacity (MW)'!K23),'Capacity (MW)'!K23=0,ISTEXT('Generation (TWh)'!L23)),"n/a",'Generation (TWh)'!L23*1000000/('Capacity (MW)'!K23*$C23)),"n/a")</f>
        <v/>
      </c>
      <c r="M23" s="37">
        <f>IFERROR(IF(OR(ISTEXT('Capacity (MW)'!L23),'Capacity (MW)'!L23=0,ISTEXT('Generation (TWh)'!M23)),"n/a",'Generation (TWh)'!M23*1000000/('Capacity (MW)'!L23*$C23)),"n/a")</f>
        <v/>
      </c>
      <c r="N23" s="37">
        <f>IFERROR(IF(OR(ISTEXT('Capacity (MW)'!M23),'Capacity (MW)'!M23=0,ISTEXT('Generation (TWh)'!N23)),"n/a",'Generation (TWh)'!N23*1000000/('Capacity (MW)'!M23*$C23)),"n/a")</f>
        <v/>
      </c>
      <c r="O23" s="37">
        <f>IFERROR(IF(OR(ISTEXT('Capacity (MW)'!N23),'Capacity (MW)'!N23=0,ISTEXT('Generation (TWh)'!O23)),"n/a",'Generation (TWh)'!O23*1000000/('Capacity (MW)'!N23*$C23)),"n/a")</f>
        <v/>
      </c>
      <c r="P23" s="37">
        <f>IFERROR(IF(OR(ISTEXT('Capacity (MW)'!O23),'Capacity (MW)'!O23=0,ISTEXT('Generation (TWh)'!P23)),"n/a",'Generation (TWh)'!P23*1000000/('Capacity (MW)'!O23*$C23)),"n/a")</f>
        <v/>
      </c>
    </row>
    <row r="24" ht="15" customHeight="1" s="22">
      <c r="A24" s="31" t="n">
        <v>2004</v>
      </c>
      <c r="B24" s="31" t="n">
        <v>4</v>
      </c>
      <c r="C24" s="31" t="n">
        <v>2208</v>
      </c>
      <c r="D24" s="37">
        <f>IFERROR(IF(OR(ISTEXT('Capacity (MW)'!C24),'Capacity (MW)'!C24=0,ISTEXT('Generation (TWh)'!D24)),"n/a",'Generation (TWh)'!D24*1000000/('Capacity (MW)'!C24*$C24)),"n/a")</f>
        <v/>
      </c>
      <c r="E24" s="37">
        <f>IFERROR(IF(OR(ISTEXT('Capacity (MW)'!D24),'Capacity (MW)'!D24=0,ISTEXT('Generation (TWh)'!E24)),"n/a",'Generation (TWh)'!E24*1000000/('Capacity (MW)'!D24*$C24)),"n/a")</f>
        <v/>
      </c>
      <c r="F24" s="37">
        <f>IFERROR(IF(OR(ISTEXT('Capacity (MW)'!E24),'Capacity (MW)'!E24=0,ISTEXT('Generation (TWh)'!F24)),"n/a",'Generation (TWh)'!F24*1000000/('Capacity (MW)'!E24*$C24)),"n/a")</f>
        <v/>
      </c>
      <c r="G24" s="37">
        <f>IFERROR(IF(OR(ISTEXT('Capacity (MW)'!F24),'Capacity (MW)'!F24=0,ISTEXT('Generation (TWh)'!G24)),"n/a",'Generation (TWh)'!G24*1000000/('Capacity (MW)'!F24*$C24)),"n/a")</f>
        <v/>
      </c>
      <c r="H24" s="37">
        <f>IFERROR(IF(OR(ISTEXT('Capacity (MW)'!G24),'Capacity (MW)'!G24=0,ISTEXT('Generation (TWh)'!H24)),"n/a",'Generation (TWh)'!H24*1000000/('Capacity (MW)'!G24*$C24)),"n/a")</f>
        <v/>
      </c>
      <c r="I24" s="37">
        <f>IFERROR(IF(OR(ISTEXT('Capacity (MW)'!H24),'Capacity (MW)'!H24=0,ISTEXT('Generation (TWh)'!I24)),"n/a",'Generation (TWh)'!I24*1000000/('Capacity (MW)'!H24*$C24)),"n/a")</f>
        <v/>
      </c>
      <c r="J24" s="37">
        <f>IFERROR(IF(OR(ISTEXT('Capacity (MW)'!I24),'Capacity (MW)'!I24=0,ISTEXT('Generation (TWh)'!J24)),"n/a",'Generation (TWh)'!J24*1000000/('Capacity (MW)'!I24*$C24)),"n/a")</f>
        <v/>
      </c>
      <c r="K24" s="37">
        <f>IFERROR(IF(OR(ISTEXT('Capacity (MW)'!J24),'Capacity (MW)'!J24=0,ISTEXT('Generation (TWh)'!K24)),"n/a",'Generation (TWh)'!K24*1000000/('Capacity (MW)'!J24*$C24)),"n/a")</f>
        <v/>
      </c>
      <c r="L24" s="37">
        <f>IFERROR(IF(OR(ISTEXT('Capacity (MW)'!K24),'Capacity (MW)'!K24=0,ISTEXT('Generation (TWh)'!L24)),"n/a",'Generation (TWh)'!L24*1000000/('Capacity (MW)'!K24*$C24)),"n/a")</f>
        <v/>
      </c>
      <c r="M24" s="37">
        <f>IFERROR(IF(OR(ISTEXT('Capacity (MW)'!L24),'Capacity (MW)'!L24=0,ISTEXT('Generation (TWh)'!M24)),"n/a",'Generation (TWh)'!M24*1000000/('Capacity (MW)'!L24*$C24)),"n/a")</f>
        <v/>
      </c>
      <c r="N24" s="37">
        <f>IFERROR(IF(OR(ISTEXT('Capacity (MW)'!M24),'Capacity (MW)'!M24=0,ISTEXT('Generation (TWh)'!N24)),"n/a",'Generation (TWh)'!N24*1000000/('Capacity (MW)'!M24*$C24)),"n/a")</f>
        <v/>
      </c>
      <c r="O24" s="37">
        <f>IFERROR(IF(OR(ISTEXT('Capacity (MW)'!N24),'Capacity (MW)'!N24=0,ISTEXT('Generation (TWh)'!O24)),"n/a",'Generation (TWh)'!O24*1000000/('Capacity (MW)'!N24*$C24)),"n/a")</f>
        <v/>
      </c>
      <c r="P24" s="37">
        <f>IFERROR(IF(OR(ISTEXT('Capacity (MW)'!O24),'Capacity (MW)'!O24=0,ISTEXT('Generation (TWh)'!P24)),"n/a",'Generation (TWh)'!P24*1000000/('Capacity (MW)'!O24*$C24)),"n/a")</f>
        <v/>
      </c>
    </row>
    <row r="25" ht="15" customHeight="1" s="22">
      <c r="A25" s="31" t="n">
        <v>2005</v>
      </c>
      <c r="B25" s="31" t="n">
        <v>1</v>
      </c>
      <c r="C25" s="31" t="n">
        <v>2160</v>
      </c>
      <c r="D25" s="37">
        <f>IFERROR(IF(OR(ISTEXT('Capacity (MW)'!C25),'Capacity (MW)'!C25=0,ISTEXT('Generation (TWh)'!D25)),"n/a",'Generation (TWh)'!D25*1000000/('Capacity (MW)'!C25*$C25)),"n/a")</f>
        <v/>
      </c>
      <c r="E25" s="37">
        <f>IFERROR(IF(OR(ISTEXT('Capacity (MW)'!D25),'Capacity (MW)'!D25=0,ISTEXT('Generation (TWh)'!E25)),"n/a",'Generation (TWh)'!E25*1000000/('Capacity (MW)'!D25*$C25)),"n/a")</f>
        <v/>
      </c>
      <c r="F25" s="37">
        <f>IFERROR(IF(OR(ISTEXT('Capacity (MW)'!E25),'Capacity (MW)'!E25=0,ISTEXT('Generation (TWh)'!F25)),"n/a",'Generation (TWh)'!F25*1000000/('Capacity (MW)'!E25*$C25)),"n/a")</f>
        <v/>
      </c>
      <c r="G25" s="37">
        <f>IFERROR(IF(OR(ISTEXT('Capacity (MW)'!F25),'Capacity (MW)'!F25=0,ISTEXT('Generation (TWh)'!G25)),"n/a",'Generation (TWh)'!G25*1000000/('Capacity (MW)'!F25*$C25)),"n/a")</f>
        <v/>
      </c>
      <c r="H25" s="37">
        <f>IFERROR(IF(OR(ISTEXT('Capacity (MW)'!G25),'Capacity (MW)'!G25=0,ISTEXT('Generation (TWh)'!H25)),"n/a",'Generation (TWh)'!H25*1000000/('Capacity (MW)'!G25*$C25)),"n/a")</f>
        <v/>
      </c>
      <c r="I25" s="37">
        <f>IFERROR(IF(OR(ISTEXT('Capacity (MW)'!H25),'Capacity (MW)'!H25=0,ISTEXT('Generation (TWh)'!I25)),"n/a",'Generation (TWh)'!I25*1000000/('Capacity (MW)'!H25*$C25)),"n/a")</f>
        <v/>
      </c>
      <c r="J25" s="37">
        <f>IFERROR(IF(OR(ISTEXT('Capacity (MW)'!I25),'Capacity (MW)'!I25=0,ISTEXT('Generation (TWh)'!J25)),"n/a",'Generation (TWh)'!J25*1000000/('Capacity (MW)'!I25*$C25)),"n/a")</f>
        <v/>
      </c>
      <c r="K25" s="37">
        <f>IFERROR(IF(OR(ISTEXT('Capacity (MW)'!J25),'Capacity (MW)'!J25=0,ISTEXT('Generation (TWh)'!K25)),"n/a",'Generation (TWh)'!K25*1000000/('Capacity (MW)'!J25*$C25)),"n/a")</f>
        <v/>
      </c>
      <c r="L25" s="37">
        <f>IFERROR(IF(OR(ISTEXT('Capacity (MW)'!K25),'Capacity (MW)'!K25=0,ISTEXT('Generation (TWh)'!L25)),"n/a",'Generation (TWh)'!L25*1000000/('Capacity (MW)'!K25*$C25)),"n/a")</f>
        <v/>
      </c>
      <c r="M25" s="37">
        <f>IFERROR(IF(OR(ISTEXT('Capacity (MW)'!L25),'Capacity (MW)'!L25=0,ISTEXT('Generation (TWh)'!M25)),"n/a",'Generation (TWh)'!M25*1000000/('Capacity (MW)'!L25*$C25)),"n/a")</f>
        <v/>
      </c>
      <c r="N25" s="37">
        <f>IFERROR(IF(OR(ISTEXT('Capacity (MW)'!M25),'Capacity (MW)'!M25=0,ISTEXT('Generation (TWh)'!N25)),"n/a",'Generation (TWh)'!N25*1000000/('Capacity (MW)'!M25*$C25)),"n/a")</f>
        <v/>
      </c>
      <c r="O25" s="37">
        <f>IFERROR(IF(OR(ISTEXT('Capacity (MW)'!N25),'Capacity (MW)'!N25=0,ISTEXT('Generation (TWh)'!O25)),"n/a",'Generation (TWh)'!O25*1000000/('Capacity (MW)'!N25*$C25)),"n/a")</f>
        <v/>
      </c>
      <c r="P25" s="37">
        <f>IFERROR(IF(OR(ISTEXT('Capacity (MW)'!O25),'Capacity (MW)'!O25=0,ISTEXT('Generation (TWh)'!P25)),"n/a",'Generation (TWh)'!P25*1000000/('Capacity (MW)'!O25*$C25)),"n/a")</f>
        <v/>
      </c>
    </row>
    <row r="26" ht="15" customHeight="1" s="22">
      <c r="A26" s="31" t="n">
        <v>2005</v>
      </c>
      <c r="B26" s="31" t="n">
        <v>2</v>
      </c>
      <c r="C26" s="31" t="n">
        <v>2184</v>
      </c>
      <c r="D26" s="37">
        <f>IFERROR(IF(OR(ISTEXT('Capacity (MW)'!C26),'Capacity (MW)'!C26=0,ISTEXT('Generation (TWh)'!D26)),"n/a",'Generation (TWh)'!D26*1000000/('Capacity (MW)'!C26*$C26)),"n/a")</f>
        <v/>
      </c>
      <c r="E26" s="37">
        <f>IFERROR(IF(OR(ISTEXT('Capacity (MW)'!D26),'Capacity (MW)'!D26=0,ISTEXT('Generation (TWh)'!E26)),"n/a",'Generation (TWh)'!E26*1000000/('Capacity (MW)'!D26*$C26)),"n/a")</f>
        <v/>
      </c>
      <c r="F26" s="37">
        <f>IFERROR(IF(OR(ISTEXT('Capacity (MW)'!E26),'Capacity (MW)'!E26=0,ISTEXT('Generation (TWh)'!F26)),"n/a",'Generation (TWh)'!F26*1000000/('Capacity (MW)'!E26*$C26)),"n/a")</f>
        <v/>
      </c>
      <c r="G26" s="37">
        <f>IFERROR(IF(OR(ISTEXT('Capacity (MW)'!F26),'Capacity (MW)'!F26=0,ISTEXT('Generation (TWh)'!G26)),"n/a",'Generation (TWh)'!G26*1000000/('Capacity (MW)'!F26*$C26)),"n/a")</f>
        <v/>
      </c>
      <c r="H26" s="37">
        <f>IFERROR(IF(OR(ISTEXT('Capacity (MW)'!G26),'Capacity (MW)'!G26=0,ISTEXT('Generation (TWh)'!H26)),"n/a",'Generation (TWh)'!H26*1000000/('Capacity (MW)'!G26*$C26)),"n/a")</f>
        <v/>
      </c>
      <c r="I26" s="37">
        <f>IFERROR(IF(OR(ISTEXT('Capacity (MW)'!H26),'Capacity (MW)'!H26=0,ISTEXT('Generation (TWh)'!I26)),"n/a",'Generation (TWh)'!I26*1000000/('Capacity (MW)'!H26*$C26)),"n/a")</f>
        <v/>
      </c>
      <c r="J26" s="37">
        <f>IFERROR(IF(OR(ISTEXT('Capacity (MW)'!I26),'Capacity (MW)'!I26=0,ISTEXT('Generation (TWh)'!J26)),"n/a",'Generation (TWh)'!J26*1000000/('Capacity (MW)'!I26*$C26)),"n/a")</f>
        <v/>
      </c>
      <c r="K26" s="37">
        <f>IFERROR(IF(OR(ISTEXT('Capacity (MW)'!J26),'Capacity (MW)'!J26=0,ISTEXT('Generation (TWh)'!K26)),"n/a",'Generation (TWh)'!K26*1000000/('Capacity (MW)'!J26*$C26)),"n/a")</f>
        <v/>
      </c>
      <c r="L26" s="37">
        <f>IFERROR(IF(OR(ISTEXT('Capacity (MW)'!K26),'Capacity (MW)'!K26=0,ISTEXT('Generation (TWh)'!L26)),"n/a",'Generation (TWh)'!L26*1000000/('Capacity (MW)'!K26*$C26)),"n/a")</f>
        <v/>
      </c>
      <c r="M26" s="37">
        <f>IFERROR(IF(OR(ISTEXT('Capacity (MW)'!L26),'Capacity (MW)'!L26=0,ISTEXT('Generation (TWh)'!M26)),"n/a",'Generation (TWh)'!M26*1000000/('Capacity (MW)'!L26*$C26)),"n/a")</f>
        <v/>
      </c>
      <c r="N26" s="37">
        <f>IFERROR(IF(OR(ISTEXT('Capacity (MW)'!M26),'Capacity (MW)'!M26=0,ISTEXT('Generation (TWh)'!N26)),"n/a",'Generation (TWh)'!N26*1000000/('Capacity (MW)'!M26*$C26)),"n/a")</f>
        <v/>
      </c>
      <c r="O26" s="37">
        <f>IFERROR(IF(OR(ISTEXT('Capacity (MW)'!N26),'Capacity (MW)'!N26=0,ISTEXT('Generation (TWh)'!O26)),"n/a",'Generation (TWh)'!O26*1000000/('Capacity (MW)'!N26*$C26)),"n/a")</f>
        <v/>
      </c>
      <c r="P26" s="37">
        <f>IFERROR(IF(OR(ISTEXT('Capacity (MW)'!O26),'Capacity (MW)'!O26=0,ISTEXT('Generation (TWh)'!P26)),"n/a",'Generation (TWh)'!P26*1000000/('Capacity (MW)'!O26*$C26)),"n/a")</f>
        <v/>
      </c>
    </row>
    <row r="27" ht="15" customHeight="1" s="22">
      <c r="A27" s="31" t="n">
        <v>2005</v>
      </c>
      <c r="B27" s="31" t="n">
        <v>3</v>
      </c>
      <c r="C27" s="31" t="n">
        <v>2208</v>
      </c>
      <c r="D27" s="37">
        <f>IFERROR(IF(OR(ISTEXT('Capacity (MW)'!C27),'Capacity (MW)'!C27=0,ISTEXT('Generation (TWh)'!D27)),"n/a",'Generation (TWh)'!D27*1000000/('Capacity (MW)'!C27*$C27)),"n/a")</f>
        <v/>
      </c>
      <c r="E27" s="37">
        <f>IFERROR(IF(OR(ISTEXT('Capacity (MW)'!D27),'Capacity (MW)'!D27=0,ISTEXT('Generation (TWh)'!E27)),"n/a",'Generation (TWh)'!E27*1000000/('Capacity (MW)'!D27*$C27)),"n/a")</f>
        <v/>
      </c>
      <c r="F27" s="37">
        <f>IFERROR(IF(OR(ISTEXT('Capacity (MW)'!E27),'Capacity (MW)'!E27=0,ISTEXT('Generation (TWh)'!F27)),"n/a",'Generation (TWh)'!F27*1000000/('Capacity (MW)'!E27*$C27)),"n/a")</f>
        <v/>
      </c>
      <c r="G27" s="37">
        <f>IFERROR(IF(OR(ISTEXT('Capacity (MW)'!F27),'Capacity (MW)'!F27=0,ISTEXT('Generation (TWh)'!G27)),"n/a",'Generation (TWh)'!G27*1000000/('Capacity (MW)'!F27*$C27)),"n/a")</f>
        <v/>
      </c>
      <c r="H27" s="37">
        <f>IFERROR(IF(OR(ISTEXT('Capacity (MW)'!G27),'Capacity (MW)'!G27=0,ISTEXT('Generation (TWh)'!H27)),"n/a",'Generation (TWh)'!H27*1000000/('Capacity (MW)'!G27*$C27)),"n/a")</f>
        <v/>
      </c>
      <c r="I27" s="37">
        <f>IFERROR(IF(OR(ISTEXT('Capacity (MW)'!H27),'Capacity (MW)'!H27=0,ISTEXT('Generation (TWh)'!I27)),"n/a",'Generation (TWh)'!I27*1000000/('Capacity (MW)'!H27*$C27)),"n/a")</f>
        <v/>
      </c>
      <c r="J27" s="37">
        <f>IFERROR(IF(OR(ISTEXT('Capacity (MW)'!I27),'Capacity (MW)'!I27=0,ISTEXT('Generation (TWh)'!J27)),"n/a",'Generation (TWh)'!J27*1000000/('Capacity (MW)'!I27*$C27)),"n/a")</f>
        <v/>
      </c>
      <c r="K27" s="37">
        <f>IFERROR(IF(OR(ISTEXT('Capacity (MW)'!J27),'Capacity (MW)'!J27=0,ISTEXT('Generation (TWh)'!K27)),"n/a",'Generation (TWh)'!K27*1000000/('Capacity (MW)'!J27*$C27)),"n/a")</f>
        <v/>
      </c>
      <c r="L27" s="37">
        <f>IFERROR(IF(OR(ISTEXT('Capacity (MW)'!K27),'Capacity (MW)'!K27=0,ISTEXT('Generation (TWh)'!L27)),"n/a",'Generation (TWh)'!L27*1000000/('Capacity (MW)'!K27*$C27)),"n/a")</f>
        <v/>
      </c>
      <c r="M27" s="37">
        <f>IFERROR(IF(OR(ISTEXT('Capacity (MW)'!L27),'Capacity (MW)'!L27=0,ISTEXT('Generation (TWh)'!M27)),"n/a",'Generation (TWh)'!M27*1000000/('Capacity (MW)'!L27*$C27)),"n/a")</f>
        <v/>
      </c>
      <c r="N27" s="37">
        <f>IFERROR(IF(OR(ISTEXT('Capacity (MW)'!M27),'Capacity (MW)'!M27=0,ISTEXT('Generation (TWh)'!N27)),"n/a",'Generation (TWh)'!N27*1000000/('Capacity (MW)'!M27*$C27)),"n/a")</f>
        <v/>
      </c>
      <c r="O27" s="37">
        <f>IFERROR(IF(OR(ISTEXT('Capacity (MW)'!N27),'Capacity (MW)'!N27=0,ISTEXT('Generation (TWh)'!O27)),"n/a",'Generation (TWh)'!O27*1000000/('Capacity (MW)'!N27*$C27)),"n/a")</f>
        <v/>
      </c>
      <c r="P27" s="37">
        <f>IFERROR(IF(OR(ISTEXT('Capacity (MW)'!O27),'Capacity (MW)'!O27=0,ISTEXT('Generation (TWh)'!P27)),"n/a",'Generation (TWh)'!P27*1000000/('Capacity (MW)'!O27*$C27)),"n/a")</f>
        <v/>
      </c>
    </row>
    <row r="28" ht="15" customHeight="1" s="22">
      <c r="A28" s="31" t="n">
        <v>2005</v>
      </c>
      <c r="B28" s="31" t="n">
        <v>4</v>
      </c>
      <c r="C28" s="31" t="n">
        <v>2208</v>
      </c>
      <c r="D28" s="37">
        <f>IFERROR(IF(OR(ISTEXT('Capacity (MW)'!C28),'Capacity (MW)'!C28=0,ISTEXT('Generation (TWh)'!D28)),"n/a",'Generation (TWh)'!D28*1000000/('Capacity (MW)'!C28*$C28)),"n/a")</f>
        <v/>
      </c>
      <c r="E28" s="37">
        <f>IFERROR(IF(OR(ISTEXT('Capacity (MW)'!D28),'Capacity (MW)'!D28=0,ISTEXT('Generation (TWh)'!E28)),"n/a",'Generation (TWh)'!E28*1000000/('Capacity (MW)'!D28*$C28)),"n/a")</f>
        <v/>
      </c>
      <c r="F28" s="37">
        <f>IFERROR(IF(OR(ISTEXT('Capacity (MW)'!E28),'Capacity (MW)'!E28=0,ISTEXT('Generation (TWh)'!F28)),"n/a",'Generation (TWh)'!F28*1000000/('Capacity (MW)'!E28*$C28)),"n/a")</f>
        <v/>
      </c>
      <c r="G28" s="37">
        <f>IFERROR(IF(OR(ISTEXT('Capacity (MW)'!F28),'Capacity (MW)'!F28=0,ISTEXT('Generation (TWh)'!G28)),"n/a",'Generation (TWh)'!G28*1000000/('Capacity (MW)'!F28*$C28)),"n/a")</f>
        <v/>
      </c>
      <c r="H28" s="37">
        <f>IFERROR(IF(OR(ISTEXT('Capacity (MW)'!G28),'Capacity (MW)'!G28=0,ISTEXT('Generation (TWh)'!H28)),"n/a",'Generation (TWh)'!H28*1000000/('Capacity (MW)'!G28*$C28)),"n/a")</f>
        <v/>
      </c>
      <c r="I28" s="37">
        <f>IFERROR(IF(OR(ISTEXT('Capacity (MW)'!H28),'Capacity (MW)'!H28=0,ISTEXT('Generation (TWh)'!I28)),"n/a",'Generation (TWh)'!I28*1000000/('Capacity (MW)'!H28*$C28)),"n/a")</f>
        <v/>
      </c>
      <c r="J28" s="37">
        <f>IFERROR(IF(OR(ISTEXT('Capacity (MW)'!I28),'Capacity (MW)'!I28=0,ISTEXT('Generation (TWh)'!J28)),"n/a",'Generation (TWh)'!J28*1000000/('Capacity (MW)'!I28*$C28)),"n/a")</f>
        <v/>
      </c>
      <c r="K28" s="37">
        <f>IFERROR(IF(OR(ISTEXT('Capacity (MW)'!J28),'Capacity (MW)'!J28=0,ISTEXT('Generation (TWh)'!K28)),"n/a",'Generation (TWh)'!K28*1000000/('Capacity (MW)'!J28*$C28)),"n/a")</f>
        <v/>
      </c>
      <c r="L28" s="37">
        <f>IFERROR(IF(OR(ISTEXT('Capacity (MW)'!K28),'Capacity (MW)'!K28=0,ISTEXT('Generation (TWh)'!L28)),"n/a",'Generation (TWh)'!L28*1000000/('Capacity (MW)'!K28*$C28)),"n/a")</f>
        <v/>
      </c>
      <c r="M28" s="37">
        <f>IFERROR(IF(OR(ISTEXT('Capacity (MW)'!L28),'Capacity (MW)'!L28=0,ISTEXT('Generation (TWh)'!M28)),"n/a",'Generation (TWh)'!M28*1000000/('Capacity (MW)'!L28*$C28)),"n/a")</f>
        <v/>
      </c>
      <c r="N28" s="37">
        <f>IFERROR(IF(OR(ISTEXT('Capacity (MW)'!M28),'Capacity (MW)'!M28=0,ISTEXT('Generation (TWh)'!N28)),"n/a",'Generation (TWh)'!N28*1000000/('Capacity (MW)'!M28*$C28)),"n/a")</f>
        <v/>
      </c>
      <c r="O28" s="37">
        <f>IFERROR(IF(OR(ISTEXT('Capacity (MW)'!N28),'Capacity (MW)'!N28=0,ISTEXT('Generation (TWh)'!O28)),"n/a",'Generation (TWh)'!O28*1000000/('Capacity (MW)'!N28*$C28)),"n/a")</f>
        <v/>
      </c>
      <c r="P28" s="37">
        <f>IFERROR(IF(OR(ISTEXT('Capacity (MW)'!O28),'Capacity (MW)'!O28=0,ISTEXT('Generation (TWh)'!P28)),"n/a",'Generation (TWh)'!P28*1000000/('Capacity (MW)'!O28*$C28)),"n/a")</f>
        <v/>
      </c>
    </row>
    <row r="29" ht="15" customHeight="1" s="22">
      <c r="A29" s="31" t="n">
        <v>2006</v>
      </c>
      <c r="B29" s="31" t="n">
        <v>1</v>
      </c>
      <c r="C29" s="31" t="n">
        <v>2160</v>
      </c>
      <c r="D29" s="37">
        <f>IFERROR(IF(OR(ISTEXT('Capacity (MW)'!C29),'Capacity (MW)'!C29=0,ISTEXT('Generation (TWh)'!D29)),"n/a",'Generation (TWh)'!D29*1000000/('Capacity (MW)'!C29*$C29)),"n/a")</f>
        <v/>
      </c>
      <c r="E29" s="37">
        <f>IFERROR(IF(OR(ISTEXT('Capacity (MW)'!D29),'Capacity (MW)'!D29=0,ISTEXT('Generation (TWh)'!E29)),"n/a",'Generation (TWh)'!E29*1000000/('Capacity (MW)'!D29*$C29)),"n/a")</f>
        <v/>
      </c>
      <c r="F29" s="37">
        <f>IFERROR(IF(OR(ISTEXT('Capacity (MW)'!E29),'Capacity (MW)'!E29=0,ISTEXT('Generation (TWh)'!F29)),"n/a",'Generation (TWh)'!F29*1000000/('Capacity (MW)'!E29*$C29)),"n/a")</f>
        <v/>
      </c>
      <c r="G29" s="37">
        <f>IFERROR(IF(OR(ISTEXT('Capacity (MW)'!F29),'Capacity (MW)'!F29=0,ISTEXT('Generation (TWh)'!G29)),"n/a",'Generation (TWh)'!G29*1000000/('Capacity (MW)'!F29*$C29)),"n/a")</f>
        <v/>
      </c>
      <c r="H29" s="37">
        <f>IFERROR(IF(OR(ISTEXT('Capacity (MW)'!G29),'Capacity (MW)'!G29=0,ISTEXT('Generation (TWh)'!H29)),"n/a",'Generation (TWh)'!H29*1000000/('Capacity (MW)'!G29*$C29)),"n/a")</f>
        <v/>
      </c>
      <c r="I29" s="37">
        <f>IFERROR(IF(OR(ISTEXT('Capacity (MW)'!H29),'Capacity (MW)'!H29=0,ISTEXT('Generation (TWh)'!I29)),"n/a",'Generation (TWh)'!I29*1000000/('Capacity (MW)'!H29*$C29)),"n/a")</f>
        <v/>
      </c>
      <c r="J29" s="37">
        <f>IFERROR(IF(OR(ISTEXT('Capacity (MW)'!I29),'Capacity (MW)'!I29=0,ISTEXT('Generation (TWh)'!J29)),"n/a",'Generation (TWh)'!J29*1000000/('Capacity (MW)'!I29*$C29)),"n/a")</f>
        <v/>
      </c>
      <c r="K29" s="37">
        <f>IFERROR(IF(OR(ISTEXT('Capacity (MW)'!J29),'Capacity (MW)'!J29=0,ISTEXT('Generation (TWh)'!K29)),"n/a",'Generation (TWh)'!K29*1000000/('Capacity (MW)'!J29*$C29)),"n/a")</f>
        <v/>
      </c>
      <c r="L29" s="37">
        <f>IFERROR(IF(OR(ISTEXT('Capacity (MW)'!K29),'Capacity (MW)'!K29=0,ISTEXT('Generation (TWh)'!L29)),"n/a",'Generation (TWh)'!L29*1000000/('Capacity (MW)'!K29*$C29)),"n/a")</f>
        <v/>
      </c>
      <c r="M29" s="37">
        <f>IFERROR(IF(OR(ISTEXT('Capacity (MW)'!L29),'Capacity (MW)'!L29=0,ISTEXT('Generation (TWh)'!M29)),"n/a",'Generation (TWh)'!M29*1000000/('Capacity (MW)'!L29*$C29)),"n/a")</f>
        <v/>
      </c>
      <c r="N29" s="37">
        <f>IFERROR(IF(OR(ISTEXT('Capacity (MW)'!M29),'Capacity (MW)'!M29=0,ISTEXT('Generation (TWh)'!N29)),"n/a",'Generation (TWh)'!N29*1000000/('Capacity (MW)'!M29*$C29)),"n/a")</f>
        <v/>
      </c>
      <c r="O29" s="37">
        <f>IFERROR(IF(OR(ISTEXT('Capacity (MW)'!N29),'Capacity (MW)'!N29=0,ISTEXT('Generation (TWh)'!O29)),"n/a",'Generation (TWh)'!O29*1000000/('Capacity (MW)'!N29*$C29)),"n/a")</f>
        <v/>
      </c>
      <c r="P29" s="37">
        <f>IFERROR(IF(OR(ISTEXT('Capacity (MW)'!O29),'Capacity (MW)'!O29=0,ISTEXT('Generation (TWh)'!P29)),"n/a",'Generation (TWh)'!P29*1000000/('Capacity (MW)'!O29*$C29)),"n/a")</f>
        <v/>
      </c>
    </row>
    <row r="30" ht="15" customHeight="1" s="22">
      <c r="A30" s="31" t="n">
        <v>2006</v>
      </c>
      <c r="B30" s="31" t="n">
        <v>2</v>
      </c>
      <c r="C30" s="31" t="n">
        <v>2184</v>
      </c>
      <c r="D30" s="37">
        <f>IFERROR(IF(OR(ISTEXT('Capacity (MW)'!C30),'Capacity (MW)'!C30=0,ISTEXT('Generation (TWh)'!D30)),"n/a",'Generation (TWh)'!D30*1000000/('Capacity (MW)'!C30*$C30)),"n/a")</f>
        <v/>
      </c>
      <c r="E30" s="37">
        <f>IFERROR(IF(OR(ISTEXT('Capacity (MW)'!D30),'Capacity (MW)'!D30=0,ISTEXT('Generation (TWh)'!E30)),"n/a",'Generation (TWh)'!E30*1000000/('Capacity (MW)'!D30*$C30)),"n/a")</f>
        <v/>
      </c>
      <c r="F30" s="37">
        <f>IFERROR(IF(OR(ISTEXT('Capacity (MW)'!E30),'Capacity (MW)'!E30=0,ISTEXT('Generation (TWh)'!F30)),"n/a",'Generation (TWh)'!F30*1000000/('Capacity (MW)'!E30*$C30)),"n/a")</f>
        <v/>
      </c>
      <c r="G30" s="37">
        <f>IFERROR(IF(OR(ISTEXT('Capacity (MW)'!F30),'Capacity (MW)'!F30=0,ISTEXT('Generation (TWh)'!G30)),"n/a",'Generation (TWh)'!G30*1000000/('Capacity (MW)'!F30*$C30)),"n/a")</f>
        <v/>
      </c>
      <c r="H30" s="37">
        <f>IFERROR(IF(OR(ISTEXT('Capacity (MW)'!G30),'Capacity (MW)'!G30=0,ISTEXT('Generation (TWh)'!H30)),"n/a",'Generation (TWh)'!H30*1000000/('Capacity (MW)'!G30*$C30)),"n/a")</f>
        <v/>
      </c>
      <c r="I30" s="37">
        <f>IFERROR(IF(OR(ISTEXT('Capacity (MW)'!H30),'Capacity (MW)'!H30=0,ISTEXT('Generation (TWh)'!I30)),"n/a",'Generation (TWh)'!I30*1000000/('Capacity (MW)'!H30*$C30)),"n/a")</f>
        <v/>
      </c>
      <c r="J30" s="37">
        <f>IFERROR(IF(OR(ISTEXT('Capacity (MW)'!I30),'Capacity (MW)'!I30=0,ISTEXT('Generation (TWh)'!J30)),"n/a",'Generation (TWh)'!J30*1000000/('Capacity (MW)'!I30*$C30)),"n/a")</f>
        <v/>
      </c>
      <c r="K30" s="37">
        <f>IFERROR(IF(OR(ISTEXT('Capacity (MW)'!J30),'Capacity (MW)'!J30=0,ISTEXT('Generation (TWh)'!K30)),"n/a",'Generation (TWh)'!K30*1000000/('Capacity (MW)'!J30*$C30)),"n/a")</f>
        <v/>
      </c>
      <c r="L30" s="37">
        <f>IFERROR(IF(OR(ISTEXT('Capacity (MW)'!K30),'Capacity (MW)'!K30=0,ISTEXT('Generation (TWh)'!L30)),"n/a",'Generation (TWh)'!L30*1000000/('Capacity (MW)'!K30*$C30)),"n/a")</f>
        <v/>
      </c>
      <c r="M30" s="37">
        <f>IFERROR(IF(OR(ISTEXT('Capacity (MW)'!L30),'Capacity (MW)'!L30=0,ISTEXT('Generation (TWh)'!M30)),"n/a",'Generation (TWh)'!M30*1000000/('Capacity (MW)'!L30*$C30)),"n/a")</f>
        <v/>
      </c>
      <c r="N30" s="37">
        <f>IFERROR(IF(OR(ISTEXT('Capacity (MW)'!M30),'Capacity (MW)'!M30=0,ISTEXT('Generation (TWh)'!N30)),"n/a",'Generation (TWh)'!N30*1000000/('Capacity (MW)'!M30*$C30)),"n/a")</f>
        <v/>
      </c>
      <c r="O30" s="37">
        <f>IFERROR(IF(OR(ISTEXT('Capacity (MW)'!N30),'Capacity (MW)'!N30=0,ISTEXT('Generation (TWh)'!O30)),"n/a",'Generation (TWh)'!O30*1000000/('Capacity (MW)'!N30*$C30)),"n/a")</f>
        <v/>
      </c>
      <c r="P30" s="37">
        <f>IFERROR(IF(OR(ISTEXT('Capacity (MW)'!O30),'Capacity (MW)'!O30=0,ISTEXT('Generation (TWh)'!P30)),"n/a",'Generation (TWh)'!P30*1000000/('Capacity (MW)'!O30*$C30)),"n/a")</f>
        <v/>
      </c>
    </row>
    <row r="31" ht="15" customHeight="1" s="22">
      <c r="A31" s="31" t="n">
        <v>2006</v>
      </c>
      <c r="B31" s="31" t="n">
        <v>3</v>
      </c>
      <c r="C31" s="31" t="n">
        <v>2208</v>
      </c>
      <c r="D31" s="37">
        <f>IFERROR(IF(OR(ISTEXT('Capacity (MW)'!C31),'Capacity (MW)'!C31=0,ISTEXT('Generation (TWh)'!D31)),"n/a",'Generation (TWh)'!D31*1000000/('Capacity (MW)'!C31*$C31)),"n/a")</f>
        <v/>
      </c>
      <c r="E31" s="37">
        <f>IFERROR(IF(OR(ISTEXT('Capacity (MW)'!D31),'Capacity (MW)'!D31=0,ISTEXT('Generation (TWh)'!E31)),"n/a",'Generation (TWh)'!E31*1000000/('Capacity (MW)'!D31*$C31)),"n/a")</f>
        <v/>
      </c>
      <c r="F31" s="37">
        <f>IFERROR(IF(OR(ISTEXT('Capacity (MW)'!E31),'Capacity (MW)'!E31=0,ISTEXT('Generation (TWh)'!F31)),"n/a",'Generation (TWh)'!F31*1000000/('Capacity (MW)'!E31*$C31)),"n/a")</f>
        <v/>
      </c>
      <c r="G31" s="37">
        <f>IFERROR(IF(OR(ISTEXT('Capacity (MW)'!F31),'Capacity (MW)'!F31=0,ISTEXT('Generation (TWh)'!G31)),"n/a",'Generation (TWh)'!G31*1000000/('Capacity (MW)'!F31*$C31)),"n/a")</f>
        <v/>
      </c>
      <c r="H31" s="37">
        <f>IFERROR(IF(OR(ISTEXT('Capacity (MW)'!G31),'Capacity (MW)'!G31=0,ISTEXT('Generation (TWh)'!H31)),"n/a",'Generation (TWh)'!H31*1000000/('Capacity (MW)'!G31*$C31)),"n/a")</f>
        <v/>
      </c>
      <c r="I31" s="37">
        <f>IFERROR(IF(OR(ISTEXT('Capacity (MW)'!H31),'Capacity (MW)'!H31=0,ISTEXT('Generation (TWh)'!I31)),"n/a",'Generation (TWh)'!I31*1000000/('Capacity (MW)'!H31*$C31)),"n/a")</f>
        <v/>
      </c>
      <c r="J31" s="37">
        <f>IFERROR(IF(OR(ISTEXT('Capacity (MW)'!I31),'Capacity (MW)'!I31=0,ISTEXT('Generation (TWh)'!J31)),"n/a",'Generation (TWh)'!J31*1000000/('Capacity (MW)'!I31*$C31)),"n/a")</f>
        <v/>
      </c>
      <c r="K31" s="37">
        <f>IFERROR(IF(OR(ISTEXT('Capacity (MW)'!J31),'Capacity (MW)'!J31=0,ISTEXT('Generation (TWh)'!K31)),"n/a",'Generation (TWh)'!K31*1000000/('Capacity (MW)'!J31*$C31)),"n/a")</f>
        <v/>
      </c>
      <c r="L31" s="37">
        <f>IFERROR(IF(OR(ISTEXT('Capacity (MW)'!K31),'Capacity (MW)'!K31=0,ISTEXT('Generation (TWh)'!L31)),"n/a",'Generation (TWh)'!L31*1000000/('Capacity (MW)'!K31*$C31)),"n/a")</f>
        <v/>
      </c>
      <c r="M31" s="37">
        <f>IFERROR(IF(OR(ISTEXT('Capacity (MW)'!L31),'Capacity (MW)'!L31=0,ISTEXT('Generation (TWh)'!M31)),"n/a",'Generation (TWh)'!M31*1000000/('Capacity (MW)'!L31*$C31)),"n/a")</f>
        <v/>
      </c>
      <c r="N31" s="37">
        <f>IFERROR(IF(OR(ISTEXT('Capacity (MW)'!M31),'Capacity (MW)'!M31=0,ISTEXT('Generation (TWh)'!N31)),"n/a",'Generation (TWh)'!N31*1000000/('Capacity (MW)'!M31*$C31)),"n/a")</f>
        <v/>
      </c>
      <c r="O31" s="37">
        <f>IFERROR(IF(OR(ISTEXT('Capacity (MW)'!N31),'Capacity (MW)'!N31=0,ISTEXT('Generation (TWh)'!O31)),"n/a",'Generation (TWh)'!O31*1000000/('Capacity (MW)'!N31*$C31)),"n/a")</f>
        <v/>
      </c>
      <c r="P31" s="37">
        <f>IFERROR(IF(OR(ISTEXT('Capacity (MW)'!O31),'Capacity (MW)'!O31=0,ISTEXT('Generation (TWh)'!P31)),"n/a",'Generation (TWh)'!P31*1000000/('Capacity (MW)'!O31*$C31)),"n/a")</f>
        <v/>
      </c>
    </row>
    <row r="32" ht="15" customHeight="1" s="22">
      <c r="A32" s="31" t="n">
        <v>2006</v>
      </c>
      <c r="B32" s="31" t="n">
        <v>4</v>
      </c>
      <c r="C32" s="31" t="n">
        <v>2208</v>
      </c>
      <c r="D32" s="37">
        <f>IFERROR(IF(OR(ISTEXT('Capacity (MW)'!C32),'Capacity (MW)'!C32=0,ISTEXT('Generation (TWh)'!D32)),"n/a",'Generation (TWh)'!D32*1000000/('Capacity (MW)'!C32*$C32)),"n/a")</f>
        <v/>
      </c>
      <c r="E32" s="37">
        <f>IFERROR(IF(OR(ISTEXT('Capacity (MW)'!D32),'Capacity (MW)'!D32=0,ISTEXT('Generation (TWh)'!E32)),"n/a",'Generation (TWh)'!E32*1000000/('Capacity (MW)'!D32*$C32)),"n/a")</f>
        <v/>
      </c>
      <c r="F32" s="37">
        <f>IFERROR(IF(OR(ISTEXT('Capacity (MW)'!E32),'Capacity (MW)'!E32=0,ISTEXT('Generation (TWh)'!F32)),"n/a",'Generation (TWh)'!F32*1000000/('Capacity (MW)'!E32*$C32)),"n/a")</f>
        <v/>
      </c>
      <c r="G32" s="37">
        <f>IFERROR(IF(OR(ISTEXT('Capacity (MW)'!F32),'Capacity (MW)'!F32=0,ISTEXT('Generation (TWh)'!G32)),"n/a",'Generation (TWh)'!G32*1000000/('Capacity (MW)'!F32*$C32)),"n/a")</f>
        <v/>
      </c>
      <c r="H32" s="37">
        <f>IFERROR(IF(OR(ISTEXT('Capacity (MW)'!G32),'Capacity (MW)'!G32=0,ISTEXT('Generation (TWh)'!H32)),"n/a",'Generation (TWh)'!H32*1000000/('Capacity (MW)'!G32*$C32)),"n/a")</f>
        <v/>
      </c>
      <c r="I32" s="37">
        <f>IFERROR(IF(OR(ISTEXT('Capacity (MW)'!H32),'Capacity (MW)'!H32=0,ISTEXT('Generation (TWh)'!I32)),"n/a",'Generation (TWh)'!I32*1000000/('Capacity (MW)'!H32*$C32)),"n/a")</f>
        <v/>
      </c>
      <c r="J32" s="37">
        <f>IFERROR(IF(OR(ISTEXT('Capacity (MW)'!I32),'Capacity (MW)'!I32=0,ISTEXT('Generation (TWh)'!J32)),"n/a",'Generation (TWh)'!J32*1000000/('Capacity (MW)'!I32*$C32)),"n/a")</f>
        <v/>
      </c>
      <c r="K32" s="37">
        <f>IFERROR(IF(OR(ISTEXT('Capacity (MW)'!J32),'Capacity (MW)'!J32=0,ISTEXT('Generation (TWh)'!K32)),"n/a",'Generation (TWh)'!K32*1000000/('Capacity (MW)'!J32*$C32)),"n/a")</f>
        <v/>
      </c>
      <c r="L32" s="37">
        <f>IFERROR(IF(OR(ISTEXT('Capacity (MW)'!K32),'Capacity (MW)'!K32=0,ISTEXT('Generation (TWh)'!L32)),"n/a",'Generation (TWh)'!L32*1000000/('Capacity (MW)'!K32*$C32)),"n/a")</f>
        <v/>
      </c>
      <c r="M32" s="37">
        <f>IFERROR(IF(OR(ISTEXT('Capacity (MW)'!L32),'Capacity (MW)'!L32=0,ISTEXT('Generation (TWh)'!M32)),"n/a",'Generation (TWh)'!M32*1000000/('Capacity (MW)'!L32*$C32)),"n/a")</f>
        <v/>
      </c>
      <c r="N32" s="37">
        <f>IFERROR(IF(OR(ISTEXT('Capacity (MW)'!M32),'Capacity (MW)'!M32=0,ISTEXT('Generation (TWh)'!N32)),"n/a",'Generation (TWh)'!N32*1000000/('Capacity (MW)'!M32*$C32)),"n/a")</f>
        <v/>
      </c>
      <c r="O32" s="37">
        <f>IFERROR(IF(OR(ISTEXT('Capacity (MW)'!N32),'Capacity (MW)'!N32=0,ISTEXT('Generation (TWh)'!O32)),"n/a",'Generation (TWh)'!O32*1000000/('Capacity (MW)'!N32*$C32)),"n/a")</f>
        <v/>
      </c>
      <c r="P32" s="37">
        <f>IFERROR(IF(OR(ISTEXT('Capacity (MW)'!O32),'Capacity (MW)'!O32=0,ISTEXT('Generation (TWh)'!P32)),"n/a",'Generation (TWh)'!P32*1000000/('Capacity (MW)'!O32*$C32)),"n/a")</f>
        <v/>
      </c>
    </row>
    <row r="33" ht="15" customHeight="1" s="22">
      <c r="A33" s="31" t="n">
        <v>2007</v>
      </c>
      <c r="B33" s="31" t="n">
        <v>1</v>
      </c>
      <c r="C33" s="31" t="n">
        <v>2160</v>
      </c>
      <c r="D33" s="37">
        <f>IFERROR(IF(OR(ISTEXT('Capacity (MW)'!C33),'Capacity (MW)'!C33=0,ISTEXT('Generation (TWh)'!D33)),"n/a",'Generation (TWh)'!D33*1000000/('Capacity (MW)'!C33*$C33)),"n/a")</f>
        <v/>
      </c>
      <c r="E33" s="37">
        <f>IFERROR(IF(OR(ISTEXT('Capacity (MW)'!D33),'Capacity (MW)'!D33=0,ISTEXT('Generation (TWh)'!E33)),"n/a",'Generation (TWh)'!E33*1000000/('Capacity (MW)'!D33*$C33)),"n/a")</f>
        <v/>
      </c>
      <c r="F33" s="37">
        <f>IFERROR(IF(OR(ISTEXT('Capacity (MW)'!E33),'Capacity (MW)'!E33=0,ISTEXT('Generation (TWh)'!F33)),"n/a",'Generation (TWh)'!F33*1000000/('Capacity (MW)'!E33*$C33)),"n/a")</f>
        <v/>
      </c>
      <c r="G33" s="37">
        <f>IFERROR(IF(OR(ISTEXT('Capacity (MW)'!F33),'Capacity (MW)'!F33=0,ISTEXT('Generation (TWh)'!G33)),"n/a",'Generation (TWh)'!G33*1000000/('Capacity (MW)'!F33*$C33)),"n/a")</f>
        <v/>
      </c>
      <c r="H33" s="37">
        <f>IFERROR(IF(OR(ISTEXT('Capacity (MW)'!G33),'Capacity (MW)'!G33=0,ISTEXT('Generation (TWh)'!H33)),"n/a",'Generation (TWh)'!H33*1000000/('Capacity (MW)'!G33*$C33)),"n/a")</f>
        <v/>
      </c>
      <c r="I33" s="37">
        <f>IFERROR(IF(OR(ISTEXT('Capacity (MW)'!H33),'Capacity (MW)'!H33=0,ISTEXT('Generation (TWh)'!I33)),"n/a",'Generation (TWh)'!I33*1000000/('Capacity (MW)'!H33*$C33)),"n/a")</f>
        <v/>
      </c>
      <c r="J33" s="37">
        <f>IFERROR(IF(OR(ISTEXT('Capacity (MW)'!I33),'Capacity (MW)'!I33=0,ISTEXT('Generation (TWh)'!J33)),"n/a",'Generation (TWh)'!J33*1000000/('Capacity (MW)'!I33*$C33)),"n/a")</f>
        <v/>
      </c>
      <c r="K33" s="37">
        <f>IFERROR(IF(OR(ISTEXT('Capacity (MW)'!J33),'Capacity (MW)'!J33=0,ISTEXT('Generation (TWh)'!K33)),"n/a",'Generation (TWh)'!K33*1000000/('Capacity (MW)'!J33*$C33)),"n/a")</f>
        <v/>
      </c>
      <c r="L33" s="37">
        <f>IFERROR(IF(OR(ISTEXT('Capacity (MW)'!K33),'Capacity (MW)'!K33=0,ISTEXT('Generation (TWh)'!L33)),"n/a",'Generation (TWh)'!L33*1000000/('Capacity (MW)'!K33*$C33)),"n/a")</f>
        <v/>
      </c>
      <c r="M33" s="37">
        <f>IFERROR(IF(OR(ISTEXT('Capacity (MW)'!L33),'Capacity (MW)'!L33=0,ISTEXT('Generation (TWh)'!M33)),"n/a",'Generation (TWh)'!M33*1000000/('Capacity (MW)'!L33*$C33)),"n/a")</f>
        <v/>
      </c>
      <c r="N33" s="37">
        <f>IFERROR(IF(OR(ISTEXT('Capacity (MW)'!M33),'Capacity (MW)'!M33=0,ISTEXT('Generation (TWh)'!N33)),"n/a",'Generation (TWh)'!N33*1000000/('Capacity (MW)'!M33*$C33)),"n/a")</f>
        <v/>
      </c>
      <c r="O33" s="37">
        <f>IFERROR(IF(OR(ISTEXT('Capacity (MW)'!N33),'Capacity (MW)'!N33=0,ISTEXT('Generation (TWh)'!O33)),"n/a",'Generation (TWh)'!O33*1000000/('Capacity (MW)'!N33*$C33)),"n/a")</f>
        <v/>
      </c>
      <c r="P33" s="37">
        <f>IFERROR(IF(OR(ISTEXT('Capacity (MW)'!O33),'Capacity (MW)'!O33=0,ISTEXT('Generation (TWh)'!P33)),"n/a",'Generation (TWh)'!P33*1000000/('Capacity (MW)'!O33*$C33)),"n/a")</f>
        <v/>
      </c>
    </row>
    <row r="34" ht="15" customHeight="1" s="22">
      <c r="A34" s="31" t="n">
        <v>2007</v>
      </c>
      <c r="B34" s="31" t="n">
        <v>2</v>
      </c>
      <c r="C34" s="31" t="n">
        <v>2184</v>
      </c>
      <c r="D34" s="37">
        <f>IFERROR(IF(OR(ISTEXT('Capacity (MW)'!C34),'Capacity (MW)'!C34=0,ISTEXT('Generation (TWh)'!D34)),"n/a",'Generation (TWh)'!D34*1000000/('Capacity (MW)'!C34*$C34)),"n/a")</f>
        <v/>
      </c>
      <c r="E34" s="37">
        <f>IFERROR(IF(OR(ISTEXT('Capacity (MW)'!D34),'Capacity (MW)'!D34=0,ISTEXT('Generation (TWh)'!E34)),"n/a",'Generation (TWh)'!E34*1000000/('Capacity (MW)'!D34*$C34)),"n/a")</f>
        <v/>
      </c>
      <c r="F34" s="37">
        <f>IFERROR(IF(OR(ISTEXT('Capacity (MW)'!E34),'Capacity (MW)'!E34=0,ISTEXT('Generation (TWh)'!F34)),"n/a",'Generation (TWh)'!F34*1000000/('Capacity (MW)'!E34*$C34)),"n/a")</f>
        <v/>
      </c>
      <c r="G34" s="37">
        <f>IFERROR(IF(OR(ISTEXT('Capacity (MW)'!F34),'Capacity (MW)'!F34=0,ISTEXT('Generation (TWh)'!G34)),"n/a",'Generation (TWh)'!G34*1000000/('Capacity (MW)'!F34*$C34)),"n/a")</f>
        <v/>
      </c>
      <c r="H34" s="37">
        <f>IFERROR(IF(OR(ISTEXT('Capacity (MW)'!G34),'Capacity (MW)'!G34=0,ISTEXT('Generation (TWh)'!H34)),"n/a",'Generation (TWh)'!H34*1000000/('Capacity (MW)'!G34*$C34)),"n/a")</f>
        <v/>
      </c>
      <c r="I34" s="37">
        <f>IFERROR(IF(OR(ISTEXT('Capacity (MW)'!H34),'Capacity (MW)'!H34=0,ISTEXT('Generation (TWh)'!I34)),"n/a",'Generation (TWh)'!I34*1000000/('Capacity (MW)'!H34*$C34)),"n/a")</f>
        <v/>
      </c>
      <c r="J34" s="37">
        <f>IFERROR(IF(OR(ISTEXT('Capacity (MW)'!I34),'Capacity (MW)'!I34=0,ISTEXT('Generation (TWh)'!J34)),"n/a",'Generation (TWh)'!J34*1000000/('Capacity (MW)'!I34*$C34)),"n/a")</f>
        <v/>
      </c>
      <c r="K34" s="37">
        <f>IFERROR(IF(OR(ISTEXT('Capacity (MW)'!J34),'Capacity (MW)'!J34=0,ISTEXT('Generation (TWh)'!K34)),"n/a",'Generation (TWh)'!K34*1000000/('Capacity (MW)'!J34*$C34)),"n/a")</f>
        <v/>
      </c>
      <c r="L34" s="37">
        <f>IFERROR(IF(OR(ISTEXT('Capacity (MW)'!K34),'Capacity (MW)'!K34=0,ISTEXT('Generation (TWh)'!L34)),"n/a",'Generation (TWh)'!L34*1000000/('Capacity (MW)'!K34*$C34)),"n/a")</f>
        <v/>
      </c>
      <c r="M34" s="37">
        <f>IFERROR(IF(OR(ISTEXT('Capacity (MW)'!L34),'Capacity (MW)'!L34=0,ISTEXT('Generation (TWh)'!M34)),"n/a",'Generation (TWh)'!M34*1000000/('Capacity (MW)'!L34*$C34)),"n/a")</f>
        <v/>
      </c>
      <c r="N34" s="37">
        <f>IFERROR(IF(OR(ISTEXT('Capacity (MW)'!M34),'Capacity (MW)'!M34=0,ISTEXT('Generation (TWh)'!N34)),"n/a",'Generation (TWh)'!N34*1000000/('Capacity (MW)'!M34*$C34)),"n/a")</f>
        <v/>
      </c>
      <c r="O34" s="37">
        <f>IFERROR(IF(OR(ISTEXT('Capacity (MW)'!N34),'Capacity (MW)'!N34=0,ISTEXT('Generation (TWh)'!O34)),"n/a",'Generation (TWh)'!O34*1000000/('Capacity (MW)'!N34*$C34)),"n/a")</f>
        <v/>
      </c>
      <c r="P34" s="37">
        <f>IFERROR(IF(OR(ISTEXT('Capacity (MW)'!O34),'Capacity (MW)'!O34=0,ISTEXT('Generation (TWh)'!P34)),"n/a",'Generation (TWh)'!P34*1000000/('Capacity (MW)'!O34*$C34)),"n/a")</f>
        <v/>
      </c>
    </row>
    <row r="35" ht="15" customHeight="1" s="22">
      <c r="A35" s="31" t="n">
        <v>2007</v>
      </c>
      <c r="B35" s="31" t="n">
        <v>3</v>
      </c>
      <c r="C35" s="31" t="n">
        <v>2208</v>
      </c>
      <c r="D35" s="37">
        <f>IFERROR(IF(OR(ISTEXT('Capacity (MW)'!C35),'Capacity (MW)'!C35=0,ISTEXT('Generation (TWh)'!D35)),"n/a",'Generation (TWh)'!D35*1000000/('Capacity (MW)'!C35*$C35)),"n/a")</f>
        <v/>
      </c>
      <c r="E35" s="37">
        <f>IFERROR(IF(OR(ISTEXT('Capacity (MW)'!D35),'Capacity (MW)'!D35=0,ISTEXT('Generation (TWh)'!E35)),"n/a",'Generation (TWh)'!E35*1000000/('Capacity (MW)'!D35*$C35)),"n/a")</f>
        <v/>
      </c>
      <c r="F35" s="37">
        <f>IFERROR(IF(OR(ISTEXT('Capacity (MW)'!E35),'Capacity (MW)'!E35=0,ISTEXT('Generation (TWh)'!F35)),"n/a",'Generation (TWh)'!F35*1000000/('Capacity (MW)'!E35*$C35)),"n/a")</f>
        <v/>
      </c>
      <c r="G35" s="37">
        <f>IFERROR(IF(OR(ISTEXT('Capacity (MW)'!F35),'Capacity (MW)'!F35=0,ISTEXT('Generation (TWh)'!G35)),"n/a",'Generation (TWh)'!G35*1000000/('Capacity (MW)'!F35*$C35)),"n/a")</f>
        <v/>
      </c>
      <c r="H35" s="37">
        <f>IFERROR(IF(OR(ISTEXT('Capacity (MW)'!G35),'Capacity (MW)'!G35=0,ISTEXT('Generation (TWh)'!H35)),"n/a",'Generation (TWh)'!H35*1000000/('Capacity (MW)'!G35*$C35)),"n/a")</f>
        <v/>
      </c>
      <c r="I35" s="37">
        <f>IFERROR(IF(OR(ISTEXT('Capacity (MW)'!H35),'Capacity (MW)'!H35=0,ISTEXT('Generation (TWh)'!I35)),"n/a",'Generation (TWh)'!I35*1000000/('Capacity (MW)'!H35*$C35)),"n/a")</f>
        <v/>
      </c>
      <c r="J35" s="37">
        <f>IFERROR(IF(OR(ISTEXT('Capacity (MW)'!I35),'Capacity (MW)'!I35=0,ISTEXT('Generation (TWh)'!J35)),"n/a",'Generation (TWh)'!J35*1000000/('Capacity (MW)'!I35*$C35)),"n/a")</f>
        <v/>
      </c>
      <c r="K35" s="37">
        <f>IFERROR(IF(OR(ISTEXT('Capacity (MW)'!J35),'Capacity (MW)'!J35=0,ISTEXT('Generation (TWh)'!K35)),"n/a",'Generation (TWh)'!K35*1000000/('Capacity (MW)'!J35*$C35)),"n/a")</f>
        <v/>
      </c>
      <c r="L35" s="37">
        <f>IFERROR(IF(OR(ISTEXT('Capacity (MW)'!K35),'Capacity (MW)'!K35=0,ISTEXT('Generation (TWh)'!L35)),"n/a",'Generation (TWh)'!L35*1000000/('Capacity (MW)'!K35*$C35)),"n/a")</f>
        <v/>
      </c>
      <c r="M35" s="37">
        <f>IFERROR(IF(OR(ISTEXT('Capacity (MW)'!L35),'Capacity (MW)'!L35=0,ISTEXT('Generation (TWh)'!M35)),"n/a",'Generation (TWh)'!M35*1000000/('Capacity (MW)'!L35*$C35)),"n/a")</f>
        <v/>
      </c>
      <c r="N35" s="37">
        <f>IFERROR(IF(OR(ISTEXT('Capacity (MW)'!M35),'Capacity (MW)'!M35=0,ISTEXT('Generation (TWh)'!N35)),"n/a",'Generation (TWh)'!N35*1000000/('Capacity (MW)'!M35*$C35)),"n/a")</f>
        <v/>
      </c>
      <c r="O35" s="37">
        <f>IFERROR(IF(OR(ISTEXT('Capacity (MW)'!N35),'Capacity (MW)'!N35=0,ISTEXT('Generation (TWh)'!O35)),"n/a",'Generation (TWh)'!O35*1000000/('Capacity (MW)'!N35*$C35)),"n/a")</f>
        <v/>
      </c>
      <c r="P35" s="37">
        <f>IFERROR(IF(OR(ISTEXT('Capacity (MW)'!O35),'Capacity (MW)'!O35=0,ISTEXT('Generation (TWh)'!P35)),"n/a",'Generation (TWh)'!P35*1000000/('Capacity (MW)'!O35*$C35)),"n/a")</f>
        <v/>
      </c>
    </row>
    <row r="36" ht="15" customHeight="1" s="22">
      <c r="A36" s="31" t="n">
        <v>2007</v>
      </c>
      <c r="B36" s="31" t="n">
        <v>4</v>
      </c>
      <c r="C36" s="31" t="n">
        <v>2208</v>
      </c>
      <c r="D36" s="37">
        <f>IFERROR(IF(OR(ISTEXT('Capacity (MW)'!C36),'Capacity (MW)'!C36=0,ISTEXT('Generation (TWh)'!D36)),"n/a",'Generation (TWh)'!D36*1000000/('Capacity (MW)'!C36*$C36)),"n/a")</f>
        <v/>
      </c>
      <c r="E36" s="37">
        <f>IFERROR(IF(OR(ISTEXT('Capacity (MW)'!D36),'Capacity (MW)'!D36=0,ISTEXT('Generation (TWh)'!E36)),"n/a",'Generation (TWh)'!E36*1000000/('Capacity (MW)'!D36*$C36)),"n/a")</f>
        <v/>
      </c>
      <c r="F36" s="37">
        <f>IFERROR(IF(OR(ISTEXT('Capacity (MW)'!E36),'Capacity (MW)'!E36=0,ISTEXT('Generation (TWh)'!F36)),"n/a",'Generation (TWh)'!F36*1000000/('Capacity (MW)'!E36*$C36)),"n/a")</f>
        <v/>
      </c>
      <c r="G36" s="37">
        <f>IFERROR(IF(OR(ISTEXT('Capacity (MW)'!F36),'Capacity (MW)'!F36=0,ISTEXT('Generation (TWh)'!G36)),"n/a",'Generation (TWh)'!G36*1000000/('Capacity (MW)'!F36*$C36)),"n/a")</f>
        <v/>
      </c>
      <c r="H36" s="37">
        <f>IFERROR(IF(OR(ISTEXT('Capacity (MW)'!G36),'Capacity (MW)'!G36=0,ISTEXT('Generation (TWh)'!H36)),"n/a",'Generation (TWh)'!H36*1000000/('Capacity (MW)'!G36*$C36)),"n/a")</f>
        <v/>
      </c>
      <c r="I36" s="37">
        <f>IFERROR(IF(OR(ISTEXT('Capacity (MW)'!H36),'Capacity (MW)'!H36=0,ISTEXT('Generation (TWh)'!I36)),"n/a",'Generation (TWh)'!I36*1000000/('Capacity (MW)'!H36*$C36)),"n/a")</f>
        <v/>
      </c>
      <c r="J36" s="37">
        <f>IFERROR(IF(OR(ISTEXT('Capacity (MW)'!I36),'Capacity (MW)'!I36=0,ISTEXT('Generation (TWh)'!J36)),"n/a",'Generation (TWh)'!J36*1000000/('Capacity (MW)'!I36*$C36)),"n/a")</f>
        <v/>
      </c>
      <c r="K36" s="37">
        <f>IFERROR(IF(OR(ISTEXT('Capacity (MW)'!J36),'Capacity (MW)'!J36=0,ISTEXT('Generation (TWh)'!K36)),"n/a",'Generation (TWh)'!K36*1000000/('Capacity (MW)'!J36*$C36)),"n/a")</f>
        <v/>
      </c>
      <c r="L36" s="37">
        <f>IFERROR(IF(OR(ISTEXT('Capacity (MW)'!K36),'Capacity (MW)'!K36=0,ISTEXT('Generation (TWh)'!L36)),"n/a",'Generation (TWh)'!L36*1000000/('Capacity (MW)'!K36*$C36)),"n/a")</f>
        <v/>
      </c>
      <c r="M36" s="37">
        <f>IFERROR(IF(OR(ISTEXT('Capacity (MW)'!L36),'Capacity (MW)'!L36=0,ISTEXT('Generation (TWh)'!M36)),"n/a",'Generation (TWh)'!M36*1000000/('Capacity (MW)'!L36*$C36)),"n/a")</f>
        <v/>
      </c>
      <c r="N36" s="37">
        <f>IFERROR(IF(OR(ISTEXT('Capacity (MW)'!M36),'Capacity (MW)'!M36=0,ISTEXT('Generation (TWh)'!N36)),"n/a",'Generation (TWh)'!N36*1000000/('Capacity (MW)'!M36*$C36)),"n/a")</f>
        <v/>
      </c>
      <c r="O36" s="37">
        <f>IFERROR(IF(OR(ISTEXT('Capacity (MW)'!N36),'Capacity (MW)'!N36=0,ISTEXT('Generation (TWh)'!O36)),"n/a",'Generation (TWh)'!O36*1000000/('Capacity (MW)'!N36*$C36)),"n/a")</f>
        <v/>
      </c>
      <c r="P36" s="37">
        <f>IFERROR(IF(OR(ISTEXT('Capacity (MW)'!O36),'Capacity (MW)'!O36=0,ISTEXT('Generation (TWh)'!P36)),"n/a",'Generation (TWh)'!P36*1000000/('Capacity (MW)'!O36*$C36)),"n/a")</f>
        <v/>
      </c>
    </row>
    <row r="37" ht="15" customHeight="1" s="22">
      <c r="A37" s="31" t="n">
        <v>2008</v>
      </c>
      <c r="B37" s="31" t="n">
        <v>1</v>
      </c>
      <c r="C37" s="31" t="n">
        <v>2184</v>
      </c>
      <c r="D37" s="37">
        <f>IFERROR(IF(OR(ISTEXT('Capacity (MW)'!C37),'Capacity (MW)'!C37=0,ISTEXT('Generation (TWh)'!D37)),"n/a",'Generation (TWh)'!D37*1000000/('Capacity (MW)'!C37*$C37)),"n/a")</f>
        <v/>
      </c>
      <c r="E37" s="37">
        <f>IFERROR(IF(OR(ISTEXT('Capacity (MW)'!D37),'Capacity (MW)'!D37=0,ISTEXT('Generation (TWh)'!E37)),"n/a",'Generation (TWh)'!E37*1000000/('Capacity (MW)'!D37*$C37)),"n/a")</f>
        <v/>
      </c>
      <c r="F37" s="37">
        <f>IFERROR(IF(OR(ISTEXT('Capacity (MW)'!E37),'Capacity (MW)'!E37=0,ISTEXT('Generation (TWh)'!F37)),"n/a",'Generation (TWh)'!F37*1000000/('Capacity (MW)'!E37*$C37)),"n/a")</f>
        <v/>
      </c>
      <c r="G37" s="37">
        <f>IFERROR(IF(OR(ISTEXT('Capacity (MW)'!F37),'Capacity (MW)'!F37=0,ISTEXT('Generation (TWh)'!G37)),"n/a",'Generation (TWh)'!G37*1000000/('Capacity (MW)'!F37*$C37)),"n/a")</f>
        <v/>
      </c>
      <c r="H37" s="37">
        <f>IFERROR(IF(OR(ISTEXT('Capacity (MW)'!G37),'Capacity (MW)'!G37=0,ISTEXT('Generation (TWh)'!H37)),"n/a",'Generation (TWh)'!H37*1000000/('Capacity (MW)'!G37*$C37)),"n/a")</f>
        <v/>
      </c>
      <c r="I37" s="37">
        <f>IFERROR(IF(OR(ISTEXT('Capacity (MW)'!H37),'Capacity (MW)'!H37=0,ISTEXT('Generation (TWh)'!I37)),"n/a",'Generation (TWh)'!I37*1000000/('Capacity (MW)'!H37*$C37)),"n/a")</f>
        <v/>
      </c>
      <c r="J37" s="37">
        <f>IFERROR(IF(OR(ISTEXT('Capacity (MW)'!I37),'Capacity (MW)'!I37=0,ISTEXT('Generation (TWh)'!J37)),"n/a",'Generation (TWh)'!J37*1000000/('Capacity (MW)'!I37*$C37)),"n/a")</f>
        <v/>
      </c>
      <c r="K37" s="37">
        <f>IFERROR(IF(OR(ISTEXT('Capacity (MW)'!J37),'Capacity (MW)'!J37=0,ISTEXT('Generation (TWh)'!K37)),"n/a",'Generation (TWh)'!K37*1000000/('Capacity (MW)'!J37*$C37)),"n/a")</f>
        <v/>
      </c>
      <c r="L37" s="37">
        <f>IFERROR(IF(OR(ISTEXT('Capacity (MW)'!K37),'Capacity (MW)'!K37=0,ISTEXT('Generation (TWh)'!L37)),"n/a",'Generation (TWh)'!L37*1000000/('Capacity (MW)'!K37*$C37)),"n/a")</f>
        <v/>
      </c>
      <c r="M37" s="37">
        <f>IFERROR(IF(OR(ISTEXT('Capacity (MW)'!L37),'Capacity (MW)'!L37=0,ISTEXT('Generation (TWh)'!M37)),"n/a",'Generation (TWh)'!M37*1000000/('Capacity (MW)'!L37*$C37)),"n/a")</f>
        <v/>
      </c>
      <c r="N37" s="37">
        <f>IFERROR(IF(OR(ISTEXT('Capacity (MW)'!M37),'Capacity (MW)'!M37=0,ISTEXT('Generation (TWh)'!N37)),"n/a",'Generation (TWh)'!N37*1000000/('Capacity (MW)'!M37*$C37)),"n/a")</f>
        <v/>
      </c>
      <c r="O37" s="37">
        <f>IFERROR(IF(OR(ISTEXT('Capacity (MW)'!N37),'Capacity (MW)'!N37=0,ISTEXT('Generation (TWh)'!O37)),"n/a",'Generation (TWh)'!O37*1000000/('Capacity (MW)'!N37*$C37)),"n/a")</f>
        <v/>
      </c>
      <c r="P37" s="37">
        <f>IFERROR(IF(OR(ISTEXT('Capacity (MW)'!O37),'Capacity (MW)'!O37=0,ISTEXT('Generation (TWh)'!P37)),"n/a",'Generation (TWh)'!P37*1000000/('Capacity (MW)'!O37*$C37)),"n/a")</f>
        <v/>
      </c>
    </row>
    <row r="38" ht="15" customHeight="1" s="22">
      <c r="A38" s="31" t="n">
        <v>2008</v>
      </c>
      <c r="B38" s="31" t="n">
        <v>2</v>
      </c>
      <c r="C38" s="31" t="n">
        <v>2184</v>
      </c>
      <c r="D38" s="37">
        <f>IFERROR(IF(OR(ISTEXT('Capacity (MW)'!C38),'Capacity (MW)'!C38=0,ISTEXT('Generation (TWh)'!D38)),"n/a",'Generation (TWh)'!D38*1000000/('Capacity (MW)'!C38*$C38)),"n/a")</f>
        <v/>
      </c>
      <c r="E38" s="37">
        <f>IFERROR(IF(OR(ISTEXT('Capacity (MW)'!D38),'Capacity (MW)'!D38=0,ISTEXT('Generation (TWh)'!E38)),"n/a",'Generation (TWh)'!E38*1000000/('Capacity (MW)'!D38*$C38)),"n/a")</f>
        <v/>
      </c>
      <c r="F38" s="37">
        <f>IFERROR(IF(OR(ISTEXT('Capacity (MW)'!E38),'Capacity (MW)'!E38=0,ISTEXT('Generation (TWh)'!F38)),"n/a",'Generation (TWh)'!F38*1000000/('Capacity (MW)'!E38*$C38)),"n/a")</f>
        <v/>
      </c>
      <c r="G38" s="37">
        <f>IFERROR(IF(OR(ISTEXT('Capacity (MW)'!F38),'Capacity (MW)'!F38=0,ISTEXT('Generation (TWh)'!G38)),"n/a",'Generation (TWh)'!G38*1000000/('Capacity (MW)'!F38*$C38)),"n/a")</f>
        <v/>
      </c>
      <c r="H38" s="37">
        <f>IFERROR(IF(OR(ISTEXT('Capacity (MW)'!G38),'Capacity (MW)'!G38=0,ISTEXT('Generation (TWh)'!H38)),"n/a",'Generation (TWh)'!H38*1000000/('Capacity (MW)'!G38*$C38)),"n/a")</f>
        <v/>
      </c>
      <c r="I38" s="37">
        <f>IFERROR(IF(OR(ISTEXT('Capacity (MW)'!H38),'Capacity (MW)'!H38=0,ISTEXT('Generation (TWh)'!I38)),"n/a",'Generation (TWh)'!I38*1000000/('Capacity (MW)'!H38*$C38)),"n/a")</f>
        <v/>
      </c>
      <c r="J38" s="37">
        <f>IFERROR(IF(OR(ISTEXT('Capacity (MW)'!I38),'Capacity (MW)'!I38=0,ISTEXT('Generation (TWh)'!J38)),"n/a",'Generation (TWh)'!J38*1000000/('Capacity (MW)'!I38*$C38)),"n/a")</f>
        <v/>
      </c>
      <c r="K38" s="37">
        <f>IFERROR(IF(OR(ISTEXT('Capacity (MW)'!J38),'Capacity (MW)'!J38=0,ISTEXT('Generation (TWh)'!K38)),"n/a",'Generation (TWh)'!K38*1000000/('Capacity (MW)'!J38*$C38)),"n/a")</f>
        <v/>
      </c>
      <c r="L38" s="37">
        <f>IFERROR(IF(OR(ISTEXT('Capacity (MW)'!K38),'Capacity (MW)'!K38=0,ISTEXT('Generation (TWh)'!L38)),"n/a",'Generation (TWh)'!L38*1000000/('Capacity (MW)'!K38*$C38)),"n/a")</f>
        <v/>
      </c>
      <c r="M38" s="37">
        <f>IFERROR(IF(OR(ISTEXT('Capacity (MW)'!L38),'Capacity (MW)'!L38=0,ISTEXT('Generation (TWh)'!M38)),"n/a",'Generation (TWh)'!M38*1000000/('Capacity (MW)'!L38*$C38)),"n/a")</f>
        <v/>
      </c>
      <c r="N38" s="37">
        <f>IFERROR(IF(OR(ISTEXT('Capacity (MW)'!M38),'Capacity (MW)'!M38=0,ISTEXT('Generation (TWh)'!N38)),"n/a",'Generation (TWh)'!N38*1000000/('Capacity (MW)'!M38*$C38)),"n/a")</f>
        <v/>
      </c>
      <c r="O38" s="37">
        <f>IFERROR(IF(OR(ISTEXT('Capacity (MW)'!N38),'Capacity (MW)'!N38=0,ISTEXT('Generation (TWh)'!O38)),"n/a",'Generation (TWh)'!O38*1000000/('Capacity (MW)'!N38*$C38)),"n/a")</f>
        <v/>
      </c>
      <c r="P38" s="37">
        <f>IFERROR(IF(OR(ISTEXT('Capacity (MW)'!O38),'Capacity (MW)'!O38=0,ISTEXT('Generation (TWh)'!P38)),"n/a",'Generation (TWh)'!P38*1000000/('Capacity (MW)'!O38*$C38)),"n/a")</f>
        <v/>
      </c>
    </row>
    <row r="39" ht="15" customHeight="1" s="22">
      <c r="A39" s="31" t="n">
        <v>2008</v>
      </c>
      <c r="B39" s="31" t="n">
        <v>3</v>
      </c>
      <c r="C39" s="31" t="n">
        <v>2208</v>
      </c>
      <c r="D39" s="37">
        <f>IFERROR(IF(OR(ISTEXT('Capacity (MW)'!C39),'Capacity (MW)'!C39=0,ISTEXT('Generation (TWh)'!D39)),"n/a",'Generation (TWh)'!D39*1000000/('Capacity (MW)'!C39*$C39)),"n/a")</f>
        <v/>
      </c>
      <c r="E39" s="37">
        <f>IFERROR(IF(OR(ISTEXT('Capacity (MW)'!D39),'Capacity (MW)'!D39=0,ISTEXT('Generation (TWh)'!E39)),"n/a",'Generation (TWh)'!E39*1000000/('Capacity (MW)'!D39*$C39)),"n/a")</f>
        <v/>
      </c>
      <c r="F39" s="37">
        <f>IFERROR(IF(OR(ISTEXT('Capacity (MW)'!E39),'Capacity (MW)'!E39=0,ISTEXT('Generation (TWh)'!F39)),"n/a",'Generation (TWh)'!F39*1000000/('Capacity (MW)'!E39*$C39)),"n/a")</f>
        <v/>
      </c>
      <c r="G39" s="37">
        <f>IFERROR(IF(OR(ISTEXT('Capacity (MW)'!F39),'Capacity (MW)'!F39=0,ISTEXT('Generation (TWh)'!G39)),"n/a",'Generation (TWh)'!G39*1000000/('Capacity (MW)'!F39*$C39)),"n/a")</f>
        <v/>
      </c>
      <c r="H39" s="37">
        <f>IFERROR(IF(OR(ISTEXT('Capacity (MW)'!G39),'Capacity (MW)'!G39=0,ISTEXT('Generation (TWh)'!H39)),"n/a",'Generation (TWh)'!H39*1000000/('Capacity (MW)'!G39*$C39)),"n/a")</f>
        <v/>
      </c>
      <c r="I39" s="37">
        <f>IFERROR(IF(OR(ISTEXT('Capacity (MW)'!H39),'Capacity (MW)'!H39=0,ISTEXT('Generation (TWh)'!I39)),"n/a",'Generation (TWh)'!I39*1000000/('Capacity (MW)'!H39*$C39)),"n/a")</f>
        <v/>
      </c>
      <c r="J39" s="37">
        <f>IFERROR(IF(OR(ISTEXT('Capacity (MW)'!I39),'Capacity (MW)'!I39=0,ISTEXT('Generation (TWh)'!J39)),"n/a",'Generation (TWh)'!J39*1000000/('Capacity (MW)'!I39*$C39)),"n/a")</f>
        <v/>
      </c>
      <c r="K39" s="37">
        <f>IFERROR(IF(OR(ISTEXT('Capacity (MW)'!J39),'Capacity (MW)'!J39=0,ISTEXT('Generation (TWh)'!K39)),"n/a",'Generation (TWh)'!K39*1000000/('Capacity (MW)'!J39*$C39)),"n/a")</f>
        <v/>
      </c>
      <c r="L39" s="37">
        <f>IFERROR(IF(OR(ISTEXT('Capacity (MW)'!K39),'Capacity (MW)'!K39=0,ISTEXT('Generation (TWh)'!L39)),"n/a",'Generation (TWh)'!L39*1000000/('Capacity (MW)'!K39*$C39)),"n/a")</f>
        <v/>
      </c>
      <c r="M39" s="37">
        <f>IFERROR(IF(OR(ISTEXT('Capacity (MW)'!L39),'Capacity (MW)'!L39=0,ISTEXT('Generation (TWh)'!M39)),"n/a",'Generation (TWh)'!M39*1000000/('Capacity (MW)'!L39*$C39)),"n/a")</f>
        <v/>
      </c>
      <c r="N39" s="37">
        <f>IFERROR(IF(OR(ISTEXT('Capacity (MW)'!M39),'Capacity (MW)'!M39=0,ISTEXT('Generation (TWh)'!N39)),"n/a",'Generation (TWh)'!N39*1000000/('Capacity (MW)'!M39*$C39)),"n/a")</f>
        <v/>
      </c>
      <c r="O39" s="37">
        <f>IFERROR(IF(OR(ISTEXT('Capacity (MW)'!N39),'Capacity (MW)'!N39=0,ISTEXT('Generation (TWh)'!O39)),"n/a",'Generation (TWh)'!O39*1000000/('Capacity (MW)'!N39*$C39)),"n/a")</f>
        <v/>
      </c>
      <c r="P39" s="37">
        <f>IFERROR(IF(OR(ISTEXT('Capacity (MW)'!O39),'Capacity (MW)'!O39=0,ISTEXT('Generation (TWh)'!P39)),"n/a",'Generation (TWh)'!P39*1000000/('Capacity (MW)'!O39*$C39)),"n/a")</f>
        <v/>
      </c>
    </row>
    <row r="40" ht="15" customHeight="1" s="22">
      <c r="A40" s="31" t="n">
        <v>2008</v>
      </c>
      <c r="B40" s="31" t="n">
        <v>4</v>
      </c>
      <c r="C40" s="31" t="n">
        <v>2208</v>
      </c>
      <c r="D40" s="37">
        <f>IFERROR(IF(OR(ISTEXT('Capacity (MW)'!C40),'Capacity (MW)'!C40=0,ISTEXT('Generation (TWh)'!D40)),"n/a",'Generation (TWh)'!D40*1000000/('Capacity (MW)'!C40*$C40)),"n/a")</f>
        <v/>
      </c>
      <c r="E40" s="37">
        <f>IFERROR(IF(OR(ISTEXT('Capacity (MW)'!D40),'Capacity (MW)'!D40=0,ISTEXT('Generation (TWh)'!E40)),"n/a",'Generation (TWh)'!E40*1000000/('Capacity (MW)'!D40*$C40)),"n/a")</f>
        <v/>
      </c>
      <c r="F40" s="37">
        <f>IFERROR(IF(OR(ISTEXT('Capacity (MW)'!E40),'Capacity (MW)'!E40=0,ISTEXT('Generation (TWh)'!F40)),"n/a",'Generation (TWh)'!F40*1000000/('Capacity (MW)'!E40*$C40)),"n/a")</f>
        <v/>
      </c>
      <c r="G40" s="37">
        <f>IFERROR(IF(OR(ISTEXT('Capacity (MW)'!F40),'Capacity (MW)'!F40=0,ISTEXT('Generation (TWh)'!G40)),"n/a",'Generation (TWh)'!G40*1000000/('Capacity (MW)'!F40*$C40)),"n/a")</f>
        <v/>
      </c>
      <c r="H40" s="37">
        <f>IFERROR(IF(OR(ISTEXT('Capacity (MW)'!G40),'Capacity (MW)'!G40=0,ISTEXT('Generation (TWh)'!H40)),"n/a",'Generation (TWh)'!H40*1000000/('Capacity (MW)'!G40*$C40)),"n/a")</f>
        <v/>
      </c>
      <c r="I40" s="37">
        <f>IFERROR(IF(OR(ISTEXT('Capacity (MW)'!H40),'Capacity (MW)'!H40=0,ISTEXT('Generation (TWh)'!I40)),"n/a",'Generation (TWh)'!I40*1000000/('Capacity (MW)'!H40*$C40)),"n/a")</f>
        <v/>
      </c>
      <c r="J40" s="37">
        <f>IFERROR(IF(OR(ISTEXT('Capacity (MW)'!I40),'Capacity (MW)'!I40=0,ISTEXT('Generation (TWh)'!J40)),"n/a",'Generation (TWh)'!J40*1000000/('Capacity (MW)'!I40*$C40)),"n/a")</f>
        <v/>
      </c>
      <c r="K40" s="37">
        <f>IFERROR(IF(OR(ISTEXT('Capacity (MW)'!J40),'Capacity (MW)'!J40=0,ISTEXT('Generation (TWh)'!K40)),"n/a",'Generation (TWh)'!K40*1000000/('Capacity (MW)'!J40*$C40)),"n/a")</f>
        <v/>
      </c>
      <c r="L40" s="37">
        <f>IFERROR(IF(OR(ISTEXT('Capacity (MW)'!K40),'Capacity (MW)'!K40=0,ISTEXT('Generation (TWh)'!L40)),"n/a",'Generation (TWh)'!L40*1000000/('Capacity (MW)'!K40*$C40)),"n/a")</f>
        <v/>
      </c>
      <c r="M40" s="37">
        <f>IFERROR(IF(OR(ISTEXT('Capacity (MW)'!L40),'Capacity (MW)'!L40=0,ISTEXT('Generation (TWh)'!M40)),"n/a",'Generation (TWh)'!M40*1000000/('Capacity (MW)'!L40*$C40)),"n/a")</f>
        <v/>
      </c>
      <c r="N40" s="37">
        <f>IFERROR(IF(OR(ISTEXT('Capacity (MW)'!M40),'Capacity (MW)'!M40=0,ISTEXT('Generation (TWh)'!N40)),"n/a",'Generation (TWh)'!N40*1000000/('Capacity (MW)'!M40*$C40)),"n/a")</f>
        <v/>
      </c>
      <c r="O40" s="37">
        <f>IFERROR(IF(OR(ISTEXT('Capacity (MW)'!N40),'Capacity (MW)'!N40=0,ISTEXT('Generation (TWh)'!O40)),"n/a",'Generation (TWh)'!O40*1000000/('Capacity (MW)'!N40*$C40)),"n/a")</f>
        <v/>
      </c>
      <c r="P40" s="37">
        <f>IFERROR(IF(OR(ISTEXT('Capacity (MW)'!O40),'Capacity (MW)'!O40=0,ISTEXT('Generation (TWh)'!P40)),"n/a",'Generation (TWh)'!P40*1000000/('Capacity (MW)'!O40*$C40)),"n/a")</f>
        <v/>
      </c>
    </row>
    <row r="41" ht="15" customHeight="1" s="22">
      <c r="A41" s="31" t="n">
        <v>2009</v>
      </c>
      <c r="B41" s="31" t="n">
        <v>1</v>
      </c>
      <c r="C41" s="31" t="n">
        <v>2160</v>
      </c>
      <c r="D41" s="37">
        <f>IFERROR(IF(OR(ISTEXT('Capacity (MW)'!C41),'Capacity (MW)'!C41=0,ISTEXT('Generation (TWh)'!D41)),"n/a",'Generation (TWh)'!D41*1000000/('Capacity (MW)'!C41*$C41)),"n/a")</f>
        <v/>
      </c>
      <c r="E41" s="37">
        <f>IFERROR(IF(OR(ISTEXT('Capacity (MW)'!D41),'Capacity (MW)'!D41=0,ISTEXT('Generation (TWh)'!E41)),"n/a",'Generation (TWh)'!E41*1000000/('Capacity (MW)'!D41*$C41)),"n/a")</f>
        <v/>
      </c>
      <c r="F41" s="37">
        <f>IFERROR(IF(OR(ISTEXT('Capacity (MW)'!E41),'Capacity (MW)'!E41=0,ISTEXT('Generation (TWh)'!F41)),"n/a",'Generation (TWh)'!F41*1000000/('Capacity (MW)'!E41*$C41)),"n/a")</f>
        <v/>
      </c>
      <c r="G41" s="37">
        <f>IFERROR(IF(OR(ISTEXT('Capacity (MW)'!F41),'Capacity (MW)'!F41=0,ISTEXT('Generation (TWh)'!G41)),"n/a",'Generation (TWh)'!G41*1000000/('Capacity (MW)'!F41*$C41)),"n/a")</f>
        <v/>
      </c>
      <c r="H41" s="37">
        <f>IFERROR(IF(OR(ISTEXT('Capacity (MW)'!G41),'Capacity (MW)'!G41=0,ISTEXT('Generation (TWh)'!H41)),"n/a",'Generation (TWh)'!H41*1000000/('Capacity (MW)'!G41*$C41)),"n/a")</f>
        <v/>
      </c>
      <c r="I41" s="37">
        <f>IFERROR(IF(OR(ISTEXT('Capacity (MW)'!H41),'Capacity (MW)'!H41=0,ISTEXT('Generation (TWh)'!I41)),"n/a",'Generation (TWh)'!I41*1000000/('Capacity (MW)'!H41*$C41)),"n/a")</f>
        <v/>
      </c>
      <c r="J41" s="37">
        <f>IFERROR(IF(OR(ISTEXT('Capacity (MW)'!I41),'Capacity (MW)'!I41=0,ISTEXT('Generation (TWh)'!J41)),"n/a",'Generation (TWh)'!J41*1000000/('Capacity (MW)'!I41*$C41)),"n/a")</f>
        <v/>
      </c>
      <c r="K41" s="37">
        <f>IFERROR(IF(OR(ISTEXT('Capacity (MW)'!J41),'Capacity (MW)'!J41=0,ISTEXT('Generation (TWh)'!K41)),"n/a",'Generation (TWh)'!K41*1000000/('Capacity (MW)'!J41*$C41)),"n/a")</f>
        <v/>
      </c>
      <c r="L41" s="37">
        <f>IFERROR(IF(OR(ISTEXT('Capacity (MW)'!K41),'Capacity (MW)'!K41=0,ISTEXT('Generation (TWh)'!L41)),"n/a",'Generation (TWh)'!L41*1000000/('Capacity (MW)'!K41*$C41)),"n/a")</f>
        <v/>
      </c>
      <c r="M41" s="37">
        <f>IFERROR(IF(OR(ISTEXT('Capacity (MW)'!L41),'Capacity (MW)'!L41=0,ISTEXT('Generation (TWh)'!M41)),"n/a",'Generation (TWh)'!M41*1000000/('Capacity (MW)'!L41*$C41)),"n/a")</f>
        <v/>
      </c>
      <c r="N41" s="37">
        <f>IFERROR(IF(OR(ISTEXT('Capacity (MW)'!M41),'Capacity (MW)'!M41=0,ISTEXT('Generation (TWh)'!N41)),"n/a",'Generation (TWh)'!N41*1000000/('Capacity (MW)'!M41*$C41)),"n/a")</f>
        <v/>
      </c>
      <c r="O41" s="37">
        <f>IFERROR(IF(OR(ISTEXT('Capacity (MW)'!N41),'Capacity (MW)'!N41=0,ISTEXT('Generation (TWh)'!O41)),"n/a",'Generation (TWh)'!O41*1000000/('Capacity (MW)'!N41*$C41)),"n/a")</f>
        <v/>
      </c>
      <c r="P41" s="37">
        <f>IFERROR(IF(OR(ISTEXT('Capacity (MW)'!O41),'Capacity (MW)'!O41=0,ISTEXT('Generation (TWh)'!P41)),"n/a",'Generation (TWh)'!P41*1000000/('Capacity (MW)'!O41*$C41)),"n/a")</f>
        <v/>
      </c>
    </row>
    <row r="42" ht="15" customHeight="1" s="22">
      <c r="A42" s="31" t="n">
        <v>2009</v>
      </c>
      <c r="B42" s="31" t="n">
        <v>2</v>
      </c>
      <c r="C42" s="31" t="n">
        <v>2184</v>
      </c>
      <c r="D42" s="37">
        <f>IFERROR(IF(OR(ISTEXT('Capacity (MW)'!C42),'Capacity (MW)'!C42=0,ISTEXT('Generation (TWh)'!D42)),"n/a",'Generation (TWh)'!D42*1000000/('Capacity (MW)'!C42*$C42)),"n/a")</f>
        <v/>
      </c>
      <c r="E42" s="37">
        <f>IFERROR(IF(OR(ISTEXT('Capacity (MW)'!D42),'Capacity (MW)'!D42=0,ISTEXT('Generation (TWh)'!E42)),"n/a",'Generation (TWh)'!E42*1000000/('Capacity (MW)'!D42*$C42)),"n/a")</f>
        <v/>
      </c>
      <c r="F42" s="37">
        <f>IFERROR(IF(OR(ISTEXT('Capacity (MW)'!E42),'Capacity (MW)'!E42=0,ISTEXT('Generation (TWh)'!F42)),"n/a",'Generation (TWh)'!F42*1000000/('Capacity (MW)'!E42*$C42)),"n/a")</f>
        <v/>
      </c>
      <c r="G42" s="37">
        <f>IFERROR(IF(OR(ISTEXT('Capacity (MW)'!F42),'Capacity (MW)'!F42=0,ISTEXT('Generation (TWh)'!G42)),"n/a",'Generation (TWh)'!G42*1000000/('Capacity (MW)'!F42*$C42)),"n/a")</f>
        <v/>
      </c>
      <c r="H42" s="37">
        <f>IFERROR(IF(OR(ISTEXT('Capacity (MW)'!G42),'Capacity (MW)'!G42=0,ISTEXT('Generation (TWh)'!H42)),"n/a",'Generation (TWh)'!H42*1000000/('Capacity (MW)'!G42*$C42)),"n/a")</f>
        <v/>
      </c>
      <c r="I42" s="37">
        <f>IFERROR(IF(OR(ISTEXT('Capacity (MW)'!H42),'Capacity (MW)'!H42=0,ISTEXT('Generation (TWh)'!I42)),"n/a",'Generation (TWh)'!I42*1000000/('Capacity (MW)'!H42*$C42)),"n/a")</f>
        <v/>
      </c>
      <c r="J42" s="37">
        <f>IFERROR(IF(OR(ISTEXT('Capacity (MW)'!I42),'Capacity (MW)'!I42=0,ISTEXT('Generation (TWh)'!J42)),"n/a",'Generation (TWh)'!J42*1000000/('Capacity (MW)'!I42*$C42)),"n/a")</f>
        <v/>
      </c>
      <c r="K42" s="37">
        <f>IFERROR(IF(OR(ISTEXT('Capacity (MW)'!J42),'Capacity (MW)'!J42=0,ISTEXT('Generation (TWh)'!K42)),"n/a",'Generation (TWh)'!K42*1000000/('Capacity (MW)'!J42*$C42)),"n/a")</f>
        <v/>
      </c>
      <c r="L42" s="37">
        <f>IFERROR(IF(OR(ISTEXT('Capacity (MW)'!K42),'Capacity (MW)'!K42=0,ISTEXT('Generation (TWh)'!L42)),"n/a",'Generation (TWh)'!L42*1000000/('Capacity (MW)'!K42*$C42)),"n/a")</f>
        <v/>
      </c>
      <c r="M42" s="37">
        <f>IFERROR(IF(OR(ISTEXT('Capacity (MW)'!L42),'Capacity (MW)'!L42=0,ISTEXT('Generation (TWh)'!M42)),"n/a",'Generation (TWh)'!M42*1000000/('Capacity (MW)'!L42*$C42)),"n/a")</f>
        <v/>
      </c>
      <c r="N42" s="37">
        <f>IFERROR(IF(OR(ISTEXT('Capacity (MW)'!M42),'Capacity (MW)'!M42=0,ISTEXT('Generation (TWh)'!N42)),"n/a",'Generation (TWh)'!N42*1000000/('Capacity (MW)'!M42*$C42)),"n/a")</f>
        <v/>
      </c>
      <c r="O42" s="37">
        <f>IFERROR(IF(OR(ISTEXT('Capacity (MW)'!N42),'Capacity (MW)'!N42=0,ISTEXT('Generation (TWh)'!O42)),"n/a",'Generation (TWh)'!O42*1000000/('Capacity (MW)'!N42*$C42)),"n/a")</f>
        <v/>
      </c>
      <c r="P42" s="37">
        <f>IFERROR(IF(OR(ISTEXT('Capacity (MW)'!O42),'Capacity (MW)'!O42=0,ISTEXT('Generation (TWh)'!P42)),"n/a",'Generation (TWh)'!P42*1000000/('Capacity (MW)'!O42*$C42)),"n/a")</f>
        <v/>
      </c>
    </row>
    <row r="43" ht="15" customHeight="1" s="22">
      <c r="A43" s="31" t="n">
        <v>2009</v>
      </c>
      <c r="B43" s="31" t="n">
        <v>3</v>
      </c>
      <c r="C43" s="31" t="n">
        <v>2208</v>
      </c>
      <c r="D43" s="37">
        <f>IFERROR(IF(OR(ISTEXT('Capacity (MW)'!C43),'Capacity (MW)'!C43=0,ISTEXT('Generation (TWh)'!D43)),"n/a",'Generation (TWh)'!D43*1000000/('Capacity (MW)'!C43*$C43)),"n/a")</f>
        <v/>
      </c>
      <c r="E43" s="37">
        <f>IFERROR(IF(OR(ISTEXT('Capacity (MW)'!D43),'Capacity (MW)'!D43=0,ISTEXT('Generation (TWh)'!E43)),"n/a",'Generation (TWh)'!E43*1000000/('Capacity (MW)'!D43*$C43)),"n/a")</f>
        <v/>
      </c>
      <c r="F43" s="37">
        <f>IFERROR(IF(OR(ISTEXT('Capacity (MW)'!E43),'Capacity (MW)'!E43=0,ISTEXT('Generation (TWh)'!F43)),"n/a",'Generation (TWh)'!F43*1000000/('Capacity (MW)'!E43*$C43)),"n/a")</f>
        <v/>
      </c>
      <c r="G43" s="37">
        <f>IFERROR(IF(OR(ISTEXT('Capacity (MW)'!F43),'Capacity (MW)'!F43=0,ISTEXT('Generation (TWh)'!G43)),"n/a",'Generation (TWh)'!G43*1000000/('Capacity (MW)'!F43*$C43)),"n/a")</f>
        <v/>
      </c>
      <c r="H43" s="37">
        <f>IFERROR(IF(OR(ISTEXT('Capacity (MW)'!G43),'Capacity (MW)'!G43=0,ISTEXT('Generation (TWh)'!H43)),"n/a",'Generation (TWh)'!H43*1000000/('Capacity (MW)'!G43*$C43)),"n/a")</f>
        <v/>
      </c>
      <c r="I43" s="37">
        <f>IFERROR(IF(OR(ISTEXT('Capacity (MW)'!H43),'Capacity (MW)'!H43=0,ISTEXT('Generation (TWh)'!I43)),"n/a",'Generation (TWh)'!I43*1000000/('Capacity (MW)'!H43*$C43)),"n/a")</f>
        <v/>
      </c>
      <c r="J43" s="37">
        <f>IFERROR(IF(OR(ISTEXT('Capacity (MW)'!I43),'Capacity (MW)'!I43=0,ISTEXT('Generation (TWh)'!J43)),"n/a",'Generation (TWh)'!J43*1000000/('Capacity (MW)'!I43*$C43)),"n/a")</f>
        <v/>
      </c>
      <c r="K43" s="37">
        <f>IFERROR(IF(OR(ISTEXT('Capacity (MW)'!J43),'Capacity (MW)'!J43=0,ISTEXT('Generation (TWh)'!K43)),"n/a",'Generation (TWh)'!K43*1000000/('Capacity (MW)'!J43*$C43)),"n/a")</f>
        <v/>
      </c>
      <c r="L43" s="37">
        <f>IFERROR(IF(OR(ISTEXT('Capacity (MW)'!K43),'Capacity (MW)'!K43=0,ISTEXT('Generation (TWh)'!L43)),"n/a",'Generation (TWh)'!L43*1000000/('Capacity (MW)'!K43*$C43)),"n/a")</f>
        <v/>
      </c>
      <c r="M43" s="37">
        <f>IFERROR(IF(OR(ISTEXT('Capacity (MW)'!L43),'Capacity (MW)'!L43=0,ISTEXT('Generation (TWh)'!M43)),"n/a",'Generation (TWh)'!M43*1000000/('Capacity (MW)'!L43*$C43)),"n/a")</f>
        <v/>
      </c>
      <c r="N43" s="37">
        <f>IFERROR(IF(OR(ISTEXT('Capacity (MW)'!M43),'Capacity (MW)'!M43=0,ISTEXT('Generation (TWh)'!N43)),"n/a",'Generation (TWh)'!N43*1000000/('Capacity (MW)'!M43*$C43)),"n/a")</f>
        <v/>
      </c>
      <c r="O43" s="37">
        <f>IFERROR(IF(OR(ISTEXT('Capacity (MW)'!N43),'Capacity (MW)'!N43=0,ISTEXT('Generation (TWh)'!O43)),"n/a",'Generation (TWh)'!O43*1000000/('Capacity (MW)'!N43*$C43)),"n/a")</f>
        <v/>
      </c>
      <c r="P43" s="37">
        <f>IFERROR(IF(OR(ISTEXT('Capacity (MW)'!O43),'Capacity (MW)'!O43=0,ISTEXT('Generation (TWh)'!P43)),"n/a",'Generation (TWh)'!P43*1000000/('Capacity (MW)'!O43*$C43)),"n/a")</f>
        <v/>
      </c>
    </row>
    <row r="44" ht="15" customHeight="1" s="22">
      <c r="A44" s="31" t="n">
        <v>2009</v>
      </c>
      <c r="B44" s="31" t="n">
        <v>4</v>
      </c>
      <c r="C44" s="31" t="n">
        <v>2208</v>
      </c>
      <c r="D44" s="37">
        <f>IFERROR(IF(OR(ISTEXT('Capacity (MW)'!C44),'Capacity (MW)'!C44=0,ISTEXT('Generation (TWh)'!D44)),"n/a",'Generation (TWh)'!D44*1000000/('Capacity (MW)'!C44*$C44)),"n/a")</f>
        <v/>
      </c>
      <c r="E44" s="37">
        <f>IFERROR(IF(OR(ISTEXT('Capacity (MW)'!D44),'Capacity (MW)'!D44=0,ISTEXT('Generation (TWh)'!E44)),"n/a",'Generation (TWh)'!E44*1000000/('Capacity (MW)'!D44*$C44)),"n/a")</f>
        <v/>
      </c>
      <c r="F44" s="37">
        <f>IFERROR(IF(OR(ISTEXT('Capacity (MW)'!E44),'Capacity (MW)'!E44=0,ISTEXT('Generation (TWh)'!F44)),"n/a",'Generation (TWh)'!F44*1000000/('Capacity (MW)'!E44*$C44)),"n/a")</f>
        <v/>
      </c>
      <c r="G44" s="37">
        <f>IFERROR(IF(OR(ISTEXT('Capacity (MW)'!F44),'Capacity (MW)'!F44=0,ISTEXT('Generation (TWh)'!G44)),"n/a",'Generation (TWh)'!G44*1000000/('Capacity (MW)'!F44*$C44)),"n/a")</f>
        <v/>
      </c>
      <c r="H44" s="37">
        <f>IFERROR(IF(OR(ISTEXT('Capacity (MW)'!G44),'Capacity (MW)'!G44=0,ISTEXT('Generation (TWh)'!H44)),"n/a",'Generation (TWh)'!H44*1000000/('Capacity (MW)'!G44*$C44)),"n/a")</f>
        <v/>
      </c>
      <c r="I44" s="37">
        <f>IFERROR(IF(OR(ISTEXT('Capacity (MW)'!H44),'Capacity (MW)'!H44=0,ISTEXT('Generation (TWh)'!I44)),"n/a",'Generation (TWh)'!I44*1000000/('Capacity (MW)'!H44*$C44)),"n/a")</f>
        <v/>
      </c>
      <c r="J44" s="37">
        <f>IFERROR(IF(OR(ISTEXT('Capacity (MW)'!I44),'Capacity (MW)'!I44=0,ISTEXT('Generation (TWh)'!J44)),"n/a",'Generation (TWh)'!J44*1000000/('Capacity (MW)'!I44*$C44)),"n/a")</f>
        <v/>
      </c>
      <c r="K44" s="37">
        <f>IFERROR(IF(OR(ISTEXT('Capacity (MW)'!J44),'Capacity (MW)'!J44=0,ISTEXT('Generation (TWh)'!K44)),"n/a",'Generation (TWh)'!K44*1000000/('Capacity (MW)'!J44*$C44)),"n/a")</f>
        <v/>
      </c>
      <c r="L44" s="37">
        <f>IFERROR(IF(OR(ISTEXT('Capacity (MW)'!K44),'Capacity (MW)'!K44=0,ISTEXT('Generation (TWh)'!L44)),"n/a",'Generation (TWh)'!L44*1000000/('Capacity (MW)'!K44*$C44)),"n/a")</f>
        <v/>
      </c>
      <c r="M44" s="37">
        <f>IFERROR(IF(OR(ISTEXT('Capacity (MW)'!L44),'Capacity (MW)'!L44=0,ISTEXT('Generation (TWh)'!M44)),"n/a",'Generation (TWh)'!M44*1000000/('Capacity (MW)'!L44*$C44)),"n/a")</f>
        <v/>
      </c>
      <c r="N44" s="37">
        <f>IFERROR(IF(OR(ISTEXT('Capacity (MW)'!M44),'Capacity (MW)'!M44=0,ISTEXT('Generation (TWh)'!N44)),"n/a",'Generation (TWh)'!N44*1000000/('Capacity (MW)'!M44*$C44)),"n/a")</f>
        <v/>
      </c>
      <c r="O44" s="37">
        <f>IFERROR(IF(OR(ISTEXT('Capacity (MW)'!N44),'Capacity (MW)'!N44=0,ISTEXT('Generation (TWh)'!O44)),"n/a",'Generation (TWh)'!O44*1000000/('Capacity (MW)'!N44*$C44)),"n/a")</f>
        <v/>
      </c>
      <c r="P44" s="37">
        <f>IFERROR(IF(OR(ISTEXT('Capacity (MW)'!O44),'Capacity (MW)'!O44=0,ISTEXT('Generation (TWh)'!P44)),"n/a",'Generation (TWh)'!P44*1000000/('Capacity (MW)'!O44*$C44)),"n/a")</f>
        <v/>
      </c>
    </row>
    <row r="45" ht="15" customHeight="1" s="22">
      <c r="A45" s="31" t="n">
        <v>2010</v>
      </c>
      <c r="B45" s="31" t="n">
        <v>1</v>
      </c>
      <c r="C45" s="31" t="n">
        <v>2160</v>
      </c>
      <c r="D45" s="37">
        <f>IFERROR(IF(OR(ISTEXT('Capacity (MW)'!C45),'Capacity (MW)'!C45=0,ISTEXT('Generation (TWh)'!D45)),"n/a",'Generation (TWh)'!D45*1000000/('Capacity (MW)'!C45*$C45)),"n/a")</f>
        <v/>
      </c>
      <c r="E45" s="37">
        <f>IFERROR(IF(OR(ISTEXT('Capacity (MW)'!D45),'Capacity (MW)'!D45=0,ISTEXT('Generation (TWh)'!E45)),"n/a",'Generation (TWh)'!E45*1000000/('Capacity (MW)'!D45*$C45)),"n/a")</f>
        <v/>
      </c>
      <c r="F45" s="37">
        <f>IFERROR(IF(OR(ISTEXT('Capacity (MW)'!E45),'Capacity (MW)'!E45=0,ISTEXT('Generation (TWh)'!F45)),"n/a",'Generation (TWh)'!F45*1000000/('Capacity (MW)'!E45*$C45)),"n/a")</f>
        <v/>
      </c>
      <c r="G45" s="37">
        <f>IFERROR(IF(OR(ISTEXT('Capacity (MW)'!F45),'Capacity (MW)'!F45=0,ISTEXT('Generation (TWh)'!G45)),"n/a",'Generation (TWh)'!G45*1000000/('Capacity (MW)'!F45*$C45)),"n/a")</f>
        <v/>
      </c>
      <c r="H45" s="37">
        <f>IFERROR(IF(OR(ISTEXT('Capacity (MW)'!G45),'Capacity (MW)'!G45=0,ISTEXT('Generation (TWh)'!H45)),"n/a",'Generation (TWh)'!H45*1000000/('Capacity (MW)'!G45*$C45)),"n/a")</f>
        <v/>
      </c>
      <c r="I45" s="37">
        <f>IFERROR(IF(OR(ISTEXT('Capacity (MW)'!H45),'Capacity (MW)'!H45=0,ISTEXT('Generation (TWh)'!I45)),"n/a",'Generation (TWh)'!I45*1000000/('Capacity (MW)'!H45*$C45)),"n/a")</f>
        <v/>
      </c>
      <c r="J45" s="37">
        <f>IFERROR(IF(OR(ISTEXT('Capacity (MW)'!I45),'Capacity (MW)'!I45=0,ISTEXT('Generation (TWh)'!J45)),"n/a",'Generation (TWh)'!J45*1000000/('Capacity (MW)'!I45*$C45)),"n/a")</f>
        <v/>
      </c>
      <c r="K45" s="37">
        <f>IFERROR(IF(OR(ISTEXT('Capacity (MW)'!J45),'Capacity (MW)'!J45=0,ISTEXT('Generation (TWh)'!K45)),"n/a",'Generation (TWh)'!K45*1000000/('Capacity (MW)'!J45*$C45)),"n/a")</f>
        <v/>
      </c>
      <c r="L45" s="37">
        <f>IFERROR(IF(OR(ISTEXT('Capacity (MW)'!K45),'Capacity (MW)'!K45=0,ISTEXT('Generation (TWh)'!L45)),"n/a",'Generation (TWh)'!L45*1000000/('Capacity (MW)'!K45*$C45)),"n/a")</f>
        <v/>
      </c>
      <c r="M45" s="37">
        <f>IFERROR(IF(OR(ISTEXT('Capacity (MW)'!L45),'Capacity (MW)'!L45=0,ISTEXT('Generation (TWh)'!M45)),"n/a",'Generation (TWh)'!M45*1000000/('Capacity (MW)'!L45*$C45)),"n/a")</f>
        <v/>
      </c>
      <c r="N45" s="37">
        <f>IFERROR(IF(OR(ISTEXT('Capacity (MW)'!M45),'Capacity (MW)'!M45=0,ISTEXT('Generation (TWh)'!N45)),"n/a",'Generation (TWh)'!N45*1000000/('Capacity (MW)'!M45*$C45)),"n/a")</f>
        <v/>
      </c>
      <c r="O45" s="37">
        <f>IFERROR(IF(OR(ISTEXT('Capacity (MW)'!N45),'Capacity (MW)'!N45=0,ISTEXT('Generation (TWh)'!O45)),"n/a",'Generation (TWh)'!O45*1000000/('Capacity (MW)'!N45*$C45)),"n/a")</f>
        <v/>
      </c>
      <c r="P45" s="37">
        <f>IFERROR(IF(OR(ISTEXT('Capacity (MW)'!O45),'Capacity (MW)'!O45=0,ISTEXT('Generation (TWh)'!P45)),"n/a",'Generation (TWh)'!P45*1000000/('Capacity (MW)'!O45*$C45)),"n/a")</f>
        <v/>
      </c>
    </row>
    <row r="46" ht="15" customHeight="1" s="22">
      <c r="A46" s="31" t="n">
        <v>2010</v>
      </c>
      <c r="B46" s="31" t="n">
        <v>2</v>
      </c>
      <c r="C46" s="31" t="n">
        <v>2184</v>
      </c>
      <c r="D46" s="37">
        <f>IFERROR(IF(OR(ISTEXT('Capacity (MW)'!C46),'Capacity (MW)'!C46=0,ISTEXT('Generation (TWh)'!D46)),"n/a",'Generation (TWh)'!D46*1000000/('Capacity (MW)'!C46*$C46)),"n/a")</f>
        <v/>
      </c>
      <c r="E46" s="37">
        <f>IFERROR(IF(OR(ISTEXT('Capacity (MW)'!D46),'Capacity (MW)'!D46=0,ISTEXT('Generation (TWh)'!E46)),"n/a",'Generation (TWh)'!E46*1000000/('Capacity (MW)'!D46*$C46)),"n/a")</f>
        <v/>
      </c>
      <c r="F46" s="37">
        <f>IFERROR(IF(OR(ISTEXT('Capacity (MW)'!E46),'Capacity (MW)'!E46=0,ISTEXT('Generation (TWh)'!F46)),"n/a",'Generation (TWh)'!F46*1000000/('Capacity (MW)'!E46*$C46)),"n/a")</f>
        <v/>
      </c>
      <c r="G46" s="37">
        <f>IFERROR(IF(OR(ISTEXT('Capacity (MW)'!F46),'Capacity (MW)'!F46=0,ISTEXT('Generation (TWh)'!G46)),"n/a",'Generation (TWh)'!G46*1000000/('Capacity (MW)'!F46*$C46)),"n/a")</f>
        <v/>
      </c>
      <c r="H46" s="37">
        <f>IFERROR(IF(OR(ISTEXT('Capacity (MW)'!G46),'Capacity (MW)'!G46=0,ISTEXT('Generation (TWh)'!H46)),"n/a",'Generation (TWh)'!H46*1000000/('Capacity (MW)'!G46*$C46)),"n/a")</f>
        <v/>
      </c>
      <c r="I46" s="37">
        <f>IFERROR(IF(OR(ISTEXT('Capacity (MW)'!H46),'Capacity (MW)'!H46=0,ISTEXT('Generation (TWh)'!I46)),"n/a",'Generation (TWh)'!I46*1000000/('Capacity (MW)'!H46*$C46)),"n/a")</f>
        <v/>
      </c>
      <c r="J46" s="37">
        <f>IFERROR(IF(OR(ISTEXT('Capacity (MW)'!I46),'Capacity (MW)'!I46=0,ISTEXT('Generation (TWh)'!J46)),"n/a",'Generation (TWh)'!J46*1000000/('Capacity (MW)'!I46*$C46)),"n/a")</f>
        <v/>
      </c>
      <c r="K46" s="37">
        <f>IFERROR(IF(OR(ISTEXT('Capacity (MW)'!J46),'Capacity (MW)'!J46=0,ISTEXT('Generation (TWh)'!K46)),"n/a",'Generation (TWh)'!K46*1000000/('Capacity (MW)'!J46*$C46)),"n/a")</f>
        <v/>
      </c>
      <c r="L46" s="37">
        <f>IFERROR(IF(OR(ISTEXT('Capacity (MW)'!K46),'Capacity (MW)'!K46=0,ISTEXT('Generation (TWh)'!L46)),"n/a",'Generation (TWh)'!L46*1000000/('Capacity (MW)'!K46*$C46)),"n/a")</f>
        <v/>
      </c>
      <c r="M46" s="37">
        <f>IFERROR(IF(OR(ISTEXT('Capacity (MW)'!L46),'Capacity (MW)'!L46=0,ISTEXT('Generation (TWh)'!M46)),"n/a",'Generation (TWh)'!M46*1000000/('Capacity (MW)'!L46*$C46)),"n/a")</f>
        <v/>
      </c>
      <c r="N46" s="37">
        <f>IFERROR(IF(OR(ISTEXT('Capacity (MW)'!M46),'Capacity (MW)'!M46=0,ISTEXT('Generation (TWh)'!N46)),"n/a",'Generation (TWh)'!N46*1000000/('Capacity (MW)'!M46*$C46)),"n/a")</f>
        <v/>
      </c>
      <c r="O46" s="37">
        <f>IFERROR(IF(OR(ISTEXT('Capacity (MW)'!N46),'Capacity (MW)'!N46=0,ISTEXT('Generation (TWh)'!O46)),"n/a",'Generation (TWh)'!O46*1000000/('Capacity (MW)'!N46*$C46)),"n/a")</f>
        <v/>
      </c>
      <c r="P46" s="37">
        <f>IFERROR(IF(OR(ISTEXT('Capacity (MW)'!O46),'Capacity (MW)'!O46=0,ISTEXT('Generation (TWh)'!P46)),"n/a",'Generation (TWh)'!P46*1000000/('Capacity (MW)'!O46*$C46)),"n/a")</f>
        <v/>
      </c>
    </row>
    <row r="47" ht="15" customHeight="1" s="22">
      <c r="A47" s="31" t="n">
        <v>2010</v>
      </c>
      <c r="B47" s="31" t="n">
        <v>3</v>
      </c>
      <c r="C47" s="31" t="n">
        <v>2208</v>
      </c>
      <c r="D47" s="37">
        <f>IFERROR(IF(OR(ISTEXT('Capacity (MW)'!C47),'Capacity (MW)'!C47=0,ISTEXT('Generation (TWh)'!D47)),"n/a",'Generation (TWh)'!D47*1000000/('Capacity (MW)'!C47*$C47)),"n/a")</f>
        <v/>
      </c>
      <c r="E47" s="37">
        <f>IFERROR(IF(OR(ISTEXT('Capacity (MW)'!D47),'Capacity (MW)'!D47=0,ISTEXT('Generation (TWh)'!E47)),"n/a",'Generation (TWh)'!E47*1000000/('Capacity (MW)'!D47*$C47)),"n/a")</f>
        <v/>
      </c>
      <c r="F47" s="37">
        <f>IFERROR(IF(OR(ISTEXT('Capacity (MW)'!E47),'Capacity (MW)'!E47=0,ISTEXT('Generation (TWh)'!F47)),"n/a",'Generation (TWh)'!F47*1000000/('Capacity (MW)'!E47*$C47)),"n/a")</f>
        <v/>
      </c>
      <c r="G47" s="37">
        <f>IFERROR(IF(OR(ISTEXT('Capacity (MW)'!F47),'Capacity (MW)'!F47=0,ISTEXT('Generation (TWh)'!G47)),"n/a",'Generation (TWh)'!G47*1000000/('Capacity (MW)'!F47*$C47)),"n/a")</f>
        <v/>
      </c>
      <c r="H47" s="37">
        <f>IFERROR(IF(OR(ISTEXT('Capacity (MW)'!G47),'Capacity (MW)'!G47=0,ISTEXT('Generation (TWh)'!H47)),"n/a",'Generation (TWh)'!H47*1000000/('Capacity (MW)'!G47*$C47)),"n/a")</f>
        <v/>
      </c>
      <c r="I47" s="37">
        <f>IFERROR(IF(OR(ISTEXT('Capacity (MW)'!H47),'Capacity (MW)'!H47=0,ISTEXT('Generation (TWh)'!I47)),"n/a",'Generation (TWh)'!I47*1000000/('Capacity (MW)'!H47*$C47)),"n/a")</f>
        <v/>
      </c>
      <c r="J47" s="37">
        <f>IFERROR(IF(OR(ISTEXT('Capacity (MW)'!I47),'Capacity (MW)'!I47=0,ISTEXT('Generation (TWh)'!J47)),"n/a",'Generation (TWh)'!J47*1000000/('Capacity (MW)'!I47*$C47)),"n/a")</f>
        <v/>
      </c>
      <c r="K47" s="37">
        <f>IFERROR(IF(OR(ISTEXT('Capacity (MW)'!J47),'Capacity (MW)'!J47=0,ISTEXT('Generation (TWh)'!K47)),"n/a",'Generation (TWh)'!K47*1000000/('Capacity (MW)'!J47*$C47)),"n/a")</f>
        <v/>
      </c>
      <c r="L47" s="37">
        <f>IFERROR(IF(OR(ISTEXT('Capacity (MW)'!K47),'Capacity (MW)'!K47=0,ISTEXT('Generation (TWh)'!L47)),"n/a",'Generation (TWh)'!L47*1000000/('Capacity (MW)'!K47*$C47)),"n/a")</f>
        <v/>
      </c>
      <c r="M47" s="37">
        <f>IFERROR(IF(OR(ISTEXT('Capacity (MW)'!L47),'Capacity (MW)'!L47=0,ISTEXT('Generation (TWh)'!M47)),"n/a",'Generation (TWh)'!M47*1000000/('Capacity (MW)'!L47*$C47)),"n/a")</f>
        <v/>
      </c>
      <c r="N47" s="37">
        <f>IFERROR(IF(OR(ISTEXT('Capacity (MW)'!M47),'Capacity (MW)'!M47=0,ISTEXT('Generation (TWh)'!N47)),"n/a",'Generation (TWh)'!N47*1000000/('Capacity (MW)'!M47*$C47)),"n/a")</f>
        <v/>
      </c>
      <c r="O47" s="37">
        <f>IFERROR(IF(OR(ISTEXT('Capacity (MW)'!N47),'Capacity (MW)'!N47=0,ISTEXT('Generation (TWh)'!O47)),"n/a",'Generation (TWh)'!O47*1000000/('Capacity (MW)'!N47*$C47)),"n/a")</f>
        <v/>
      </c>
      <c r="P47" s="37">
        <f>IFERROR(IF(OR(ISTEXT('Capacity (MW)'!O47),'Capacity (MW)'!O47=0,ISTEXT('Generation (TWh)'!P47)),"n/a",'Generation (TWh)'!P47*1000000/('Capacity (MW)'!O47*$C47)),"n/a")</f>
        <v/>
      </c>
    </row>
    <row r="48" ht="15" customHeight="1" s="22">
      <c r="A48" s="31" t="n">
        <v>2010</v>
      </c>
      <c r="B48" s="31" t="n">
        <v>4</v>
      </c>
      <c r="C48" s="31" t="n">
        <v>2208</v>
      </c>
      <c r="D48" s="37">
        <f>IFERROR(IF(OR(ISTEXT('Capacity (MW)'!C48),'Capacity (MW)'!C48=0,ISTEXT('Generation (TWh)'!D48)),"n/a",'Generation (TWh)'!D48*1000000/('Capacity (MW)'!C48*$C48)),"n/a")</f>
        <v/>
      </c>
      <c r="E48" s="37">
        <f>IFERROR(IF(OR(ISTEXT('Capacity (MW)'!D48),'Capacity (MW)'!D48=0,ISTEXT('Generation (TWh)'!E48)),"n/a",'Generation (TWh)'!E48*1000000/('Capacity (MW)'!D48*$C48)),"n/a")</f>
        <v/>
      </c>
      <c r="F48" s="37">
        <f>IFERROR(IF(OR(ISTEXT('Capacity (MW)'!E48),'Capacity (MW)'!E48=0,ISTEXT('Generation (TWh)'!F48)),"n/a",'Generation (TWh)'!F48*1000000/('Capacity (MW)'!E48*$C48)),"n/a")</f>
        <v/>
      </c>
      <c r="G48" s="37">
        <f>IFERROR(IF(OR(ISTEXT('Capacity (MW)'!F48),'Capacity (MW)'!F48=0,ISTEXT('Generation (TWh)'!G48)),"n/a",'Generation (TWh)'!G48*1000000/('Capacity (MW)'!F48*$C48)),"n/a")</f>
        <v/>
      </c>
      <c r="H48" s="37">
        <f>IFERROR(IF(OR(ISTEXT('Capacity (MW)'!G48),'Capacity (MW)'!G48=0,ISTEXT('Generation (TWh)'!H48)),"n/a",'Generation (TWh)'!H48*1000000/('Capacity (MW)'!G48*$C48)),"n/a")</f>
        <v/>
      </c>
      <c r="I48" s="37">
        <f>IFERROR(IF(OR(ISTEXT('Capacity (MW)'!H48),'Capacity (MW)'!H48=0,ISTEXT('Generation (TWh)'!I48)),"n/a",'Generation (TWh)'!I48*1000000/('Capacity (MW)'!H48*$C48)),"n/a")</f>
        <v/>
      </c>
      <c r="J48" s="37">
        <f>IFERROR(IF(OR(ISTEXT('Capacity (MW)'!I48),'Capacity (MW)'!I48=0,ISTEXT('Generation (TWh)'!J48)),"n/a",'Generation (TWh)'!J48*1000000/('Capacity (MW)'!I48*$C48)),"n/a")</f>
        <v/>
      </c>
      <c r="K48" s="37">
        <f>IFERROR(IF(OR(ISTEXT('Capacity (MW)'!J48),'Capacity (MW)'!J48=0,ISTEXT('Generation (TWh)'!K48)),"n/a",'Generation (TWh)'!K48*1000000/('Capacity (MW)'!J48*$C48)),"n/a")</f>
        <v/>
      </c>
      <c r="L48" s="37">
        <f>IFERROR(IF(OR(ISTEXT('Capacity (MW)'!K48),'Capacity (MW)'!K48=0,ISTEXT('Generation (TWh)'!L48)),"n/a",'Generation (TWh)'!L48*1000000/('Capacity (MW)'!K48*$C48)),"n/a")</f>
        <v/>
      </c>
      <c r="M48" s="37">
        <f>IFERROR(IF(OR(ISTEXT('Capacity (MW)'!L48),'Capacity (MW)'!L48=0,ISTEXT('Generation (TWh)'!M48)),"n/a",'Generation (TWh)'!M48*1000000/('Capacity (MW)'!L48*$C48)),"n/a")</f>
        <v/>
      </c>
      <c r="N48" s="37">
        <f>IFERROR(IF(OR(ISTEXT('Capacity (MW)'!M48),'Capacity (MW)'!M48=0,ISTEXT('Generation (TWh)'!N48)),"n/a",'Generation (TWh)'!N48*1000000/('Capacity (MW)'!M48*$C48)),"n/a")</f>
        <v/>
      </c>
      <c r="O48" s="37">
        <f>IFERROR(IF(OR(ISTEXT('Capacity (MW)'!N48),'Capacity (MW)'!N48=0,ISTEXT('Generation (TWh)'!O48)),"n/a",'Generation (TWh)'!O48*1000000/('Capacity (MW)'!N48*$C48)),"n/a")</f>
        <v/>
      </c>
      <c r="P48" s="37">
        <f>IFERROR(IF(OR(ISTEXT('Capacity (MW)'!O48),'Capacity (MW)'!O48=0,ISTEXT('Generation (TWh)'!P48)),"n/a",'Generation (TWh)'!P48*1000000/('Capacity (MW)'!O48*$C48)),"n/a")</f>
        <v/>
      </c>
    </row>
    <row r="49" ht="15" customHeight="1" s="22">
      <c r="A49" s="31" t="n">
        <v>2011</v>
      </c>
      <c r="B49" s="31" t="n">
        <v>1</v>
      </c>
      <c r="C49" s="31" t="n">
        <v>2160</v>
      </c>
      <c r="D49" s="37">
        <f>IFERROR(IF(OR(ISTEXT('Capacity (MW)'!C49),'Capacity (MW)'!C49=0,ISTEXT('Generation (TWh)'!D49)),"n/a",'Generation (TWh)'!D49*1000000/('Capacity (MW)'!C49*$C49)),"n/a")</f>
        <v/>
      </c>
      <c r="E49" s="37">
        <f>IFERROR(IF(OR(ISTEXT('Capacity (MW)'!D49),'Capacity (MW)'!D49=0,ISTEXT('Generation (TWh)'!E49)),"n/a",'Generation (TWh)'!E49*1000000/('Capacity (MW)'!D49*$C49)),"n/a")</f>
        <v/>
      </c>
      <c r="F49" s="37">
        <f>IFERROR(IF(OR(ISTEXT('Capacity (MW)'!E49),'Capacity (MW)'!E49=0,ISTEXT('Generation (TWh)'!F49)),"n/a",'Generation (TWh)'!F49*1000000/('Capacity (MW)'!E49*$C49)),"n/a")</f>
        <v/>
      </c>
      <c r="G49" s="37">
        <f>IFERROR(IF(OR(ISTEXT('Capacity (MW)'!F49),'Capacity (MW)'!F49=0,ISTEXT('Generation (TWh)'!G49)),"n/a",'Generation (TWh)'!G49*1000000/('Capacity (MW)'!F49*$C49)),"n/a")</f>
        <v/>
      </c>
      <c r="H49" s="37">
        <f>IFERROR(IF(OR(ISTEXT('Capacity (MW)'!G49),'Capacity (MW)'!G49=0,ISTEXT('Generation (TWh)'!H49)),"n/a",'Generation (TWh)'!H49*1000000/('Capacity (MW)'!G49*$C49)),"n/a")</f>
        <v/>
      </c>
      <c r="I49" s="37">
        <f>IFERROR(IF(OR(ISTEXT('Capacity (MW)'!H49),'Capacity (MW)'!H49=0,ISTEXT('Generation (TWh)'!I49)),"n/a",'Generation (TWh)'!I49*1000000/('Capacity (MW)'!H49*$C49)),"n/a")</f>
        <v/>
      </c>
      <c r="J49" s="37">
        <f>IFERROR(IF(OR(ISTEXT('Capacity (MW)'!I49),'Capacity (MW)'!I49=0,ISTEXT('Generation (TWh)'!J49)),"n/a",'Generation (TWh)'!J49*1000000/('Capacity (MW)'!I49*$C49)),"n/a")</f>
        <v/>
      </c>
      <c r="K49" s="37">
        <f>IFERROR(IF(OR(ISTEXT('Capacity (MW)'!J49),'Capacity (MW)'!J49=0,ISTEXT('Generation (TWh)'!K49)),"n/a",'Generation (TWh)'!K49*1000000/('Capacity (MW)'!J49*$C49)),"n/a")</f>
        <v/>
      </c>
      <c r="L49" s="37">
        <f>IFERROR(IF(OR(ISTEXT('Capacity (MW)'!K49),'Capacity (MW)'!K49=0,ISTEXT('Generation (TWh)'!L49)),"n/a",'Generation (TWh)'!L49*1000000/('Capacity (MW)'!K49*$C49)),"n/a")</f>
        <v/>
      </c>
      <c r="M49" s="37">
        <f>IFERROR(IF(OR(ISTEXT('Capacity (MW)'!L49),'Capacity (MW)'!L49=0,ISTEXT('Generation (TWh)'!M49)),"n/a",'Generation (TWh)'!M49*1000000/('Capacity (MW)'!L49*$C49)),"n/a")</f>
        <v/>
      </c>
      <c r="N49" s="37">
        <f>IFERROR(IF(OR(ISTEXT('Capacity (MW)'!M49),'Capacity (MW)'!M49=0,ISTEXT('Generation (TWh)'!N49)),"n/a",'Generation (TWh)'!N49*1000000/('Capacity (MW)'!M49*$C49)),"n/a")</f>
        <v/>
      </c>
      <c r="O49" s="37">
        <f>IFERROR(IF(OR(ISTEXT('Capacity (MW)'!N49),'Capacity (MW)'!N49=0,ISTEXT('Generation (TWh)'!O49)),"n/a",'Generation (TWh)'!O49*1000000/('Capacity (MW)'!N49*$C49)),"n/a")</f>
        <v/>
      </c>
      <c r="P49" s="37">
        <f>IFERROR(IF(OR(ISTEXT('Capacity (MW)'!O49),'Capacity (MW)'!O49=0,ISTEXT('Generation (TWh)'!P49)),"n/a",'Generation (TWh)'!P49*1000000/('Capacity (MW)'!O49*$C49)),"n/a")</f>
        <v/>
      </c>
    </row>
    <row r="50" ht="15" customHeight="1" s="22">
      <c r="A50" s="31" t="n">
        <v>2011</v>
      </c>
      <c r="B50" s="31" t="n">
        <v>2</v>
      </c>
      <c r="C50" s="31" t="n">
        <v>2184</v>
      </c>
      <c r="D50" s="37">
        <f>IFERROR(IF(OR(ISTEXT('Capacity (MW)'!C50),'Capacity (MW)'!C50=0,ISTEXT('Generation (TWh)'!D50)),"n/a",'Generation (TWh)'!D50*1000000/('Capacity (MW)'!C50*$C50)),"n/a")</f>
        <v/>
      </c>
      <c r="E50" s="37">
        <f>IFERROR(IF(OR(ISTEXT('Capacity (MW)'!D50),'Capacity (MW)'!D50=0,ISTEXT('Generation (TWh)'!E50)),"n/a",'Generation (TWh)'!E50*1000000/('Capacity (MW)'!D50*$C50)),"n/a")</f>
        <v/>
      </c>
      <c r="F50" s="37">
        <f>IFERROR(IF(OR(ISTEXT('Capacity (MW)'!E50),'Capacity (MW)'!E50=0,ISTEXT('Generation (TWh)'!F50)),"n/a",'Generation (TWh)'!F50*1000000/('Capacity (MW)'!E50*$C50)),"n/a")</f>
        <v/>
      </c>
      <c r="G50" s="37">
        <f>IFERROR(IF(OR(ISTEXT('Capacity (MW)'!F50),'Capacity (MW)'!F50=0,ISTEXT('Generation (TWh)'!G50)),"n/a",'Generation (TWh)'!G50*1000000/('Capacity (MW)'!F50*$C50)),"n/a")</f>
        <v/>
      </c>
      <c r="H50" s="37">
        <f>IFERROR(IF(OR(ISTEXT('Capacity (MW)'!G50),'Capacity (MW)'!G50=0,ISTEXT('Generation (TWh)'!H50)),"n/a",'Generation (TWh)'!H50*1000000/('Capacity (MW)'!G50*$C50)),"n/a")</f>
        <v/>
      </c>
      <c r="I50" s="37">
        <f>IFERROR(IF(OR(ISTEXT('Capacity (MW)'!H50),'Capacity (MW)'!H50=0,ISTEXT('Generation (TWh)'!I50)),"n/a",'Generation (TWh)'!I50*1000000/('Capacity (MW)'!H50*$C50)),"n/a")</f>
        <v/>
      </c>
      <c r="J50" s="37">
        <f>IFERROR(IF(OR(ISTEXT('Capacity (MW)'!I50),'Capacity (MW)'!I50=0,ISTEXT('Generation (TWh)'!J50)),"n/a",'Generation (TWh)'!J50*1000000/('Capacity (MW)'!I50*$C50)),"n/a")</f>
        <v/>
      </c>
      <c r="K50" s="37">
        <f>IFERROR(IF(OR(ISTEXT('Capacity (MW)'!J50),'Capacity (MW)'!J50=0,ISTEXT('Generation (TWh)'!K50)),"n/a",'Generation (TWh)'!K50*1000000/('Capacity (MW)'!J50*$C50)),"n/a")</f>
        <v/>
      </c>
      <c r="L50" s="37">
        <f>IFERROR(IF(OR(ISTEXT('Capacity (MW)'!K50),'Capacity (MW)'!K50=0,ISTEXT('Generation (TWh)'!L50)),"n/a",'Generation (TWh)'!L50*1000000/('Capacity (MW)'!K50*$C50)),"n/a")</f>
        <v/>
      </c>
      <c r="M50" s="37">
        <f>IFERROR(IF(OR(ISTEXT('Capacity (MW)'!L50),'Capacity (MW)'!L50=0,ISTEXT('Generation (TWh)'!M50)),"n/a",'Generation (TWh)'!M50*1000000/('Capacity (MW)'!L50*$C50)),"n/a")</f>
        <v/>
      </c>
      <c r="N50" s="37">
        <f>IFERROR(IF(OR(ISTEXT('Capacity (MW)'!M50),'Capacity (MW)'!M50=0,ISTEXT('Generation (TWh)'!N50)),"n/a",'Generation (TWh)'!N50*1000000/('Capacity (MW)'!M50*$C50)),"n/a")</f>
        <v/>
      </c>
      <c r="O50" s="37">
        <f>IFERROR(IF(OR(ISTEXT('Capacity (MW)'!N50),'Capacity (MW)'!N50=0,ISTEXT('Generation (TWh)'!O50)),"n/a",'Generation (TWh)'!O50*1000000/('Capacity (MW)'!N50*$C50)),"n/a")</f>
        <v/>
      </c>
      <c r="P50" s="37">
        <f>IFERROR(IF(OR(ISTEXT('Capacity (MW)'!O50),'Capacity (MW)'!O50=0,ISTEXT('Generation (TWh)'!P50)),"n/a",'Generation (TWh)'!P50*1000000/('Capacity (MW)'!O50*$C50)),"n/a")</f>
        <v/>
      </c>
    </row>
    <row r="51" ht="15" customHeight="1" s="22">
      <c r="A51" s="31" t="n">
        <v>2011</v>
      </c>
      <c r="B51" s="31" t="n">
        <v>3</v>
      </c>
      <c r="C51" s="31" t="n">
        <v>2208</v>
      </c>
      <c r="D51" s="37">
        <f>IFERROR(IF(OR(ISTEXT('Capacity (MW)'!C51),'Capacity (MW)'!C51=0,ISTEXT('Generation (TWh)'!D51)),"n/a",'Generation (TWh)'!D51*1000000/('Capacity (MW)'!C51*$C51)),"n/a")</f>
        <v/>
      </c>
      <c r="E51" s="37">
        <f>IFERROR(IF(OR(ISTEXT('Capacity (MW)'!D51),'Capacity (MW)'!D51=0,ISTEXT('Generation (TWh)'!E51)),"n/a",'Generation (TWh)'!E51*1000000/('Capacity (MW)'!D51*$C51)),"n/a")</f>
        <v/>
      </c>
      <c r="F51" s="37">
        <f>IFERROR(IF(OR(ISTEXT('Capacity (MW)'!E51),'Capacity (MW)'!E51=0,ISTEXT('Generation (TWh)'!F51)),"n/a",'Generation (TWh)'!F51*1000000/('Capacity (MW)'!E51*$C51)),"n/a")</f>
        <v/>
      </c>
      <c r="G51" s="37">
        <f>IFERROR(IF(OR(ISTEXT('Capacity (MW)'!F51),'Capacity (MW)'!F51=0,ISTEXT('Generation (TWh)'!G51)),"n/a",'Generation (TWh)'!G51*1000000/('Capacity (MW)'!F51*$C51)),"n/a")</f>
        <v/>
      </c>
      <c r="H51" s="37">
        <f>IFERROR(IF(OR(ISTEXT('Capacity (MW)'!G51),'Capacity (MW)'!G51=0,ISTEXT('Generation (TWh)'!H51)),"n/a",'Generation (TWh)'!H51*1000000/('Capacity (MW)'!G51*$C51)),"n/a")</f>
        <v/>
      </c>
      <c r="I51" s="37">
        <f>IFERROR(IF(OR(ISTEXT('Capacity (MW)'!H51),'Capacity (MW)'!H51=0,ISTEXT('Generation (TWh)'!I51)),"n/a",'Generation (TWh)'!I51*1000000/('Capacity (MW)'!H51*$C51)),"n/a")</f>
        <v/>
      </c>
      <c r="J51" s="37">
        <f>IFERROR(IF(OR(ISTEXT('Capacity (MW)'!I51),'Capacity (MW)'!I51=0,ISTEXT('Generation (TWh)'!J51)),"n/a",'Generation (TWh)'!J51*1000000/('Capacity (MW)'!I51*$C51)),"n/a")</f>
        <v/>
      </c>
      <c r="K51" s="37">
        <f>IFERROR(IF(OR(ISTEXT('Capacity (MW)'!J51),'Capacity (MW)'!J51=0,ISTEXT('Generation (TWh)'!K51)),"n/a",'Generation (TWh)'!K51*1000000/('Capacity (MW)'!J51*$C51)),"n/a")</f>
        <v/>
      </c>
      <c r="L51" s="37">
        <f>IFERROR(IF(OR(ISTEXT('Capacity (MW)'!K51),'Capacity (MW)'!K51=0,ISTEXT('Generation (TWh)'!L51)),"n/a",'Generation (TWh)'!L51*1000000/('Capacity (MW)'!K51*$C51)),"n/a")</f>
        <v/>
      </c>
      <c r="M51" s="37">
        <f>IFERROR(IF(OR(ISTEXT('Capacity (MW)'!L51),'Capacity (MW)'!L51=0,ISTEXT('Generation (TWh)'!M51)),"n/a",'Generation (TWh)'!M51*1000000/('Capacity (MW)'!L51*$C51)),"n/a")</f>
        <v/>
      </c>
      <c r="N51" s="37">
        <f>IFERROR(IF(OR(ISTEXT('Capacity (MW)'!M51),'Capacity (MW)'!M51=0,ISTEXT('Generation (TWh)'!N51)),"n/a",'Generation (TWh)'!N51*1000000/('Capacity (MW)'!M51*$C51)),"n/a")</f>
        <v/>
      </c>
      <c r="O51" s="37">
        <f>IFERROR(IF(OR(ISTEXT('Capacity (MW)'!N51),'Capacity (MW)'!N51=0,ISTEXT('Generation (TWh)'!O51)),"n/a",'Generation (TWh)'!O51*1000000/('Capacity (MW)'!N51*$C51)),"n/a")</f>
        <v/>
      </c>
      <c r="P51" s="37">
        <f>IFERROR(IF(OR(ISTEXT('Capacity (MW)'!O51),'Capacity (MW)'!O51=0,ISTEXT('Generation (TWh)'!P51)),"n/a",'Generation (TWh)'!P51*1000000/('Capacity (MW)'!O51*$C51)),"n/a")</f>
        <v/>
      </c>
    </row>
    <row r="52" ht="15" customHeight="1" s="22">
      <c r="A52" s="31" t="n">
        <v>2011</v>
      </c>
      <c r="B52" s="31" t="n">
        <v>4</v>
      </c>
      <c r="C52" s="31" t="n">
        <v>2208</v>
      </c>
      <c r="D52" s="37">
        <f>IFERROR(IF(OR(ISTEXT('Capacity (MW)'!C52),'Capacity (MW)'!C52=0,ISTEXT('Generation (TWh)'!D52)),"n/a",'Generation (TWh)'!D52*1000000/('Capacity (MW)'!C52*$C52)),"n/a")</f>
        <v/>
      </c>
      <c r="E52" s="37">
        <f>IFERROR(IF(OR(ISTEXT('Capacity (MW)'!D52),'Capacity (MW)'!D52=0,ISTEXT('Generation (TWh)'!E52)),"n/a",'Generation (TWh)'!E52*1000000/('Capacity (MW)'!D52*$C52)),"n/a")</f>
        <v/>
      </c>
      <c r="F52" s="37">
        <f>IFERROR(IF(OR(ISTEXT('Capacity (MW)'!E52),'Capacity (MW)'!E52=0,ISTEXT('Generation (TWh)'!F52)),"n/a",'Generation (TWh)'!F52*1000000/('Capacity (MW)'!E52*$C52)),"n/a")</f>
        <v/>
      </c>
      <c r="G52" s="37">
        <f>IFERROR(IF(OR(ISTEXT('Capacity (MW)'!F52),'Capacity (MW)'!F52=0,ISTEXT('Generation (TWh)'!G52)),"n/a",'Generation (TWh)'!G52*1000000/('Capacity (MW)'!F52*$C52)),"n/a")</f>
        <v/>
      </c>
      <c r="H52" s="37">
        <f>IFERROR(IF(OR(ISTEXT('Capacity (MW)'!G52),'Capacity (MW)'!G52=0,ISTEXT('Generation (TWh)'!H52)),"n/a",'Generation (TWh)'!H52*1000000/('Capacity (MW)'!G52*$C52)),"n/a")</f>
        <v/>
      </c>
      <c r="I52" s="37">
        <f>IFERROR(IF(OR(ISTEXT('Capacity (MW)'!H52),'Capacity (MW)'!H52=0,ISTEXT('Generation (TWh)'!I52)),"n/a",'Generation (TWh)'!I52*1000000/('Capacity (MW)'!H52*$C52)),"n/a")</f>
        <v/>
      </c>
      <c r="J52" s="37">
        <f>IFERROR(IF(OR(ISTEXT('Capacity (MW)'!I52),'Capacity (MW)'!I52=0,ISTEXT('Generation (TWh)'!J52)),"n/a",'Generation (TWh)'!J52*1000000/('Capacity (MW)'!I52*$C52)),"n/a")</f>
        <v/>
      </c>
      <c r="K52" s="37">
        <f>IFERROR(IF(OR(ISTEXT('Capacity (MW)'!J52),'Capacity (MW)'!J52=0,ISTEXT('Generation (TWh)'!K52)),"n/a",'Generation (TWh)'!K52*1000000/('Capacity (MW)'!J52*$C52)),"n/a")</f>
        <v/>
      </c>
      <c r="L52" s="37">
        <f>IFERROR(IF(OR(ISTEXT('Capacity (MW)'!K52),'Capacity (MW)'!K52=0,ISTEXT('Generation (TWh)'!L52)),"n/a",'Generation (TWh)'!L52*1000000/('Capacity (MW)'!K52*$C52)),"n/a")</f>
        <v/>
      </c>
      <c r="M52" s="37">
        <f>IFERROR(IF(OR(ISTEXT('Capacity (MW)'!L52),'Capacity (MW)'!L52=0,ISTEXT('Generation (TWh)'!M52)),"n/a",'Generation (TWh)'!M52*1000000/('Capacity (MW)'!L52*$C52)),"n/a")</f>
        <v/>
      </c>
      <c r="N52" s="37">
        <f>IFERROR(IF(OR(ISTEXT('Capacity (MW)'!M52),'Capacity (MW)'!M52=0,ISTEXT('Generation (TWh)'!N52)),"n/a",'Generation (TWh)'!N52*1000000/('Capacity (MW)'!M52*$C52)),"n/a")</f>
        <v/>
      </c>
      <c r="O52" s="37">
        <f>IFERROR(IF(OR(ISTEXT('Capacity (MW)'!N52),'Capacity (MW)'!N52=0,ISTEXT('Generation (TWh)'!O52)),"n/a",'Generation (TWh)'!O52*1000000/('Capacity (MW)'!N52*$C52)),"n/a")</f>
        <v/>
      </c>
      <c r="P52" s="37">
        <f>IFERROR(IF(OR(ISTEXT('Capacity (MW)'!O52),'Capacity (MW)'!O52=0,ISTEXT('Generation (TWh)'!P52)),"n/a",'Generation (TWh)'!P52*1000000/('Capacity (MW)'!O52*$C52)),"n/a")</f>
        <v/>
      </c>
    </row>
    <row r="53" ht="15" customHeight="1" s="22">
      <c r="A53" s="31" t="n">
        <v>2012</v>
      </c>
      <c r="B53" s="31" t="n">
        <v>1</v>
      </c>
      <c r="C53" s="31" t="n">
        <v>2184</v>
      </c>
      <c r="D53" s="37">
        <f>IFERROR(IF(OR(ISTEXT('Capacity (MW)'!C53),'Capacity (MW)'!C53=0,ISTEXT('Generation (TWh)'!D53)),"n/a",'Generation (TWh)'!D53*1000000/('Capacity (MW)'!C53*$C53)),"n/a")</f>
        <v/>
      </c>
      <c r="E53" s="37">
        <f>IFERROR(IF(OR(ISTEXT('Capacity (MW)'!D53),'Capacity (MW)'!D53=0,ISTEXT('Generation (TWh)'!E53)),"n/a",'Generation (TWh)'!E53*1000000/('Capacity (MW)'!D53*$C53)),"n/a")</f>
        <v/>
      </c>
      <c r="F53" s="37">
        <f>IFERROR(IF(OR(ISTEXT('Capacity (MW)'!E53),'Capacity (MW)'!E53=0,ISTEXT('Generation (TWh)'!F53)),"n/a",'Generation (TWh)'!F53*1000000/('Capacity (MW)'!E53*$C53)),"n/a")</f>
        <v/>
      </c>
      <c r="G53" s="37">
        <f>IFERROR(IF(OR(ISTEXT('Capacity (MW)'!F53),'Capacity (MW)'!F53=0,ISTEXT('Generation (TWh)'!G53)),"n/a",'Generation (TWh)'!G53*1000000/('Capacity (MW)'!F53*$C53)),"n/a")</f>
        <v/>
      </c>
      <c r="H53" s="37">
        <f>IFERROR(IF(OR(ISTEXT('Capacity (MW)'!G53),'Capacity (MW)'!G53=0,ISTEXT('Generation (TWh)'!H53)),"n/a",'Generation (TWh)'!H53*1000000/('Capacity (MW)'!G53*$C53)),"n/a")</f>
        <v/>
      </c>
      <c r="I53" s="37">
        <f>IFERROR(IF(OR(ISTEXT('Capacity (MW)'!H53),'Capacity (MW)'!H53=0,ISTEXT('Generation (TWh)'!I53)),"n/a",'Generation (TWh)'!I53*1000000/('Capacity (MW)'!H53*$C53)),"n/a")</f>
        <v/>
      </c>
      <c r="J53" s="37">
        <f>IFERROR(IF(OR(ISTEXT('Capacity (MW)'!I53),'Capacity (MW)'!I53=0,ISTEXT('Generation (TWh)'!J53)),"n/a",'Generation (TWh)'!J53*1000000/('Capacity (MW)'!I53*$C53)),"n/a")</f>
        <v/>
      </c>
      <c r="K53" s="37">
        <f>IFERROR(IF(OR(ISTEXT('Capacity (MW)'!J53),'Capacity (MW)'!J53=0,ISTEXT('Generation (TWh)'!K53)),"n/a",'Generation (TWh)'!K53*1000000/('Capacity (MW)'!J53*$C53)),"n/a")</f>
        <v/>
      </c>
      <c r="L53" s="37">
        <f>IFERROR(IF(OR(ISTEXT('Capacity (MW)'!K53),'Capacity (MW)'!K53=0,ISTEXT('Generation (TWh)'!L53)),"n/a",'Generation (TWh)'!L53*1000000/('Capacity (MW)'!K53*$C53)),"n/a")</f>
        <v/>
      </c>
      <c r="M53" s="37">
        <f>IFERROR(IF(OR(ISTEXT('Capacity (MW)'!L53),'Capacity (MW)'!L53=0,ISTEXT('Generation (TWh)'!M53)),"n/a",'Generation (TWh)'!M53*1000000/('Capacity (MW)'!L53*$C53)),"n/a")</f>
        <v/>
      </c>
      <c r="N53" s="37">
        <f>IFERROR(IF(OR(ISTEXT('Capacity (MW)'!M53),'Capacity (MW)'!M53=0,ISTEXT('Generation (TWh)'!N53)),"n/a",'Generation (TWh)'!N53*1000000/('Capacity (MW)'!M53*$C53)),"n/a")</f>
        <v/>
      </c>
      <c r="O53" s="37">
        <f>IFERROR(IF(OR(ISTEXT('Capacity (MW)'!N53),'Capacity (MW)'!N53=0,ISTEXT('Generation (TWh)'!O53)),"n/a",'Generation (TWh)'!O53*1000000/('Capacity (MW)'!N53*$C53)),"n/a")</f>
        <v/>
      </c>
      <c r="P53" s="37">
        <f>IFERROR(IF(OR(ISTEXT('Capacity (MW)'!O53),'Capacity (MW)'!O53=0,ISTEXT('Generation (TWh)'!P53)),"n/a",'Generation (TWh)'!P53*1000000/('Capacity (MW)'!O53*$C53)),"n/a")</f>
        <v/>
      </c>
    </row>
    <row r="54" ht="15" customHeight="1" s="22">
      <c r="A54" s="31" t="n">
        <v>2012</v>
      </c>
      <c r="B54" s="31" t="n">
        <v>2</v>
      </c>
      <c r="C54" s="31" t="n">
        <v>2184</v>
      </c>
      <c r="D54" s="37">
        <f>IFERROR(IF(OR(ISTEXT('Capacity (MW)'!C54),'Capacity (MW)'!C54=0,ISTEXT('Generation (TWh)'!D54)),"n/a",'Generation (TWh)'!D54*1000000/('Capacity (MW)'!C54*$C54)),"n/a")</f>
        <v/>
      </c>
      <c r="E54" s="37">
        <f>IFERROR(IF(OR(ISTEXT('Capacity (MW)'!D54),'Capacity (MW)'!D54=0,ISTEXT('Generation (TWh)'!E54)),"n/a",'Generation (TWh)'!E54*1000000/('Capacity (MW)'!D54*$C54)),"n/a")</f>
        <v/>
      </c>
      <c r="F54" s="37">
        <f>IFERROR(IF(OR(ISTEXT('Capacity (MW)'!E54),'Capacity (MW)'!E54=0,ISTEXT('Generation (TWh)'!F54)),"n/a",'Generation (TWh)'!F54*1000000/('Capacity (MW)'!E54*$C54)),"n/a")</f>
        <v/>
      </c>
      <c r="G54" s="37">
        <f>IFERROR(IF(OR(ISTEXT('Capacity (MW)'!F54),'Capacity (MW)'!F54=0,ISTEXT('Generation (TWh)'!G54)),"n/a",'Generation (TWh)'!G54*1000000/('Capacity (MW)'!F54*$C54)),"n/a")</f>
        <v/>
      </c>
      <c r="H54" s="37">
        <f>IFERROR(IF(OR(ISTEXT('Capacity (MW)'!G54),'Capacity (MW)'!G54=0,ISTEXT('Generation (TWh)'!H54)),"n/a",'Generation (TWh)'!H54*1000000/('Capacity (MW)'!G54*$C54)),"n/a")</f>
        <v/>
      </c>
      <c r="I54" s="37">
        <f>IFERROR(IF(OR(ISTEXT('Capacity (MW)'!H54),'Capacity (MW)'!H54=0,ISTEXT('Generation (TWh)'!I54)),"n/a",'Generation (TWh)'!I54*1000000/('Capacity (MW)'!H54*$C54)),"n/a")</f>
        <v/>
      </c>
      <c r="J54" s="37">
        <f>IFERROR(IF(OR(ISTEXT('Capacity (MW)'!I54),'Capacity (MW)'!I54=0,ISTEXT('Generation (TWh)'!J54)),"n/a",'Generation (TWh)'!J54*1000000/('Capacity (MW)'!I54*$C54)),"n/a")</f>
        <v/>
      </c>
      <c r="K54" s="37">
        <f>IFERROR(IF(OR(ISTEXT('Capacity (MW)'!J54),'Capacity (MW)'!J54=0,ISTEXT('Generation (TWh)'!K54)),"n/a",'Generation (TWh)'!K54*1000000/('Capacity (MW)'!J54*$C54)),"n/a")</f>
        <v/>
      </c>
      <c r="L54" s="37">
        <f>IFERROR(IF(OR(ISTEXT('Capacity (MW)'!K54),'Capacity (MW)'!K54=0,ISTEXT('Generation (TWh)'!L54)),"n/a",'Generation (TWh)'!L54*1000000/('Capacity (MW)'!K54*$C54)),"n/a")</f>
        <v/>
      </c>
      <c r="M54" s="37">
        <f>IFERROR(IF(OR(ISTEXT('Capacity (MW)'!L54),'Capacity (MW)'!L54=0,ISTEXT('Generation (TWh)'!M54)),"n/a",'Generation (TWh)'!M54*1000000/('Capacity (MW)'!L54*$C54)),"n/a")</f>
        <v/>
      </c>
      <c r="N54" s="37">
        <f>IFERROR(IF(OR(ISTEXT('Capacity (MW)'!M54),'Capacity (MW)'!M54=0,ISTEXT('Generation (TWh)'!N54)),"n/a",'Generation (TWh)'!N54*1000000/('Capacity (MW)'!M54*$C54)),"n/a")</f>
        <v/>
      </c>
      <c r="O54" s="37">
        <f>IFERROR(IF(OR(ISTEXT('Capacity (MW)'!N54),'Capacity (MW)'!N54=0,ISTEXT('Generation (TWh)'!O54)),"n/a",'Generation (TWh)'!O54*1000000/('Capacity (MW)'!N54*$C54)),"n/a")</f>
        <v/>
      </c>
      <c r="P54" s="37">
        <f>IFERROR(IF(OR(ISTEXT('Capacity (MW)'!O54),'Capacity (MW)'!O54=0,ISTEXT('Generation (TWh)'!P54)),"n/a",'Generation (TWh)'!P54*1000000/('Capacity (MW)'!O54*$C54)),"n/a")</f>
        <v/>
      </c>
    </row>
    <row r="55" ht="15" customHeight="1" s="22">
      <c r="A55" s="31" t="n">
        <v>2012</v>
      </c>
      <c r="B55" s="31" t="n">
        <v>3</v>
      </c>
      <c r="C55" s="31" t="n">
        <v>2208</v>
      </c>
      <c r="D55" s="37">
        <f>IFERROR(IF(OR(ISTEXT('Capacity (MW)'!C55),'Capacity (MW)'!C55=0,ISTEXT('Generation (TWh)'!D55)),"n/a",'Generation (TWh)'!D55*1000000/('Capacity (MW)'!C55*$C55)),"n/a")</f>
        <v/>
      </c>
      <c r="E55" s="37">
        <f>IFERROR(IF(OR(ISTEXT('Capacity (MW)'!D55),'Capacity (MW)'!D55=0,ISTEXT('Generation (TWh)'!E55)),"n/a",'Generation (TWh)'!E55*1000000/('Capacity (MW)'!D55*$C55)),"n/a")</f>
        <v/>
      </c>
      <c r="F55" s="37">
        <f>IFERROR(IF(OR(ISTEXT('Capacity (MW)'!E55),'Capacity (MW)'!E55=0,ISTEXT('Generation (TWh)'!F55)),"n/a",'Generation (TWh)'!F55*1000000/('Capacity (MW)'!E55*$C55)),"n/a")</f>
        <v/>
      </c>
      <c r="G55" s="37">
        <f>IFERROR(IF(OR(ISTEXT('Capacity (MW)'!F55),'Capacity (MW)'!F55=0,ISTEXT('Generation (TWh)'!G55)),"n/a",'Generation (TWh)'!G55*1000000/('Capacity (MW)'!F55*$C55)),"n/a")</f>
        <v/>
      </c>
      <c r="H55" s="37">
        <f>IFERROR(IF(OR(ISTEXT('Capacity (MW)'!G55),'Capacity (MW)'!G55=0,ISTEXT('Generation (TWh)'!H55)),"n/a",'Generation (TWh)'!H55*1000000/('Capacity (MW)'!G55*$C55)),"n/a")</f>
        <v/>
      </c>
      <c r="I55" s="37">
        <f>IFERROR(IF(OR(ISTEXT('Capacity (MW)'!H55),'Capacity (MW)'!H55=0,ISTEXT('Generation (TWh)'!I55)),"n/a",'Generation (TWh)'!I55*1000000/('Capacity (MW)'!H55*$C55)),"n/a")</f>
        <v/>
      </c>
      <c r="J55" s="37">
        <f>IFERROR(IF(OR(ISTEXT('Capacity (MW)'!I55),'Capacity (MW)'!I55=0,ISTEXT('Generation (TWh)'!J55)),"n/a",'Generation (TWh)'!J55*1000000/('Capacity (MW)'!I55*$C55)),"n/a")</f>
        <v/>
      </c>
      <c r="K55" s="37">
        <f>IFERROR(IF(OR(ISTEXT('Capacity (MW)'!J55),'Capacity (MW)'!J55=0,ISTEXT('Generation (TWh)'!K55)),"n/a",'Generation (TWh)'!K55*1000000/('Capacity (MW)'!J55*$C55)),"n/a")</f>
        <v/>
      </c>
      <c r="L55" s="37">
        <f>IFERROR(IF(OR(ISTEXT('Capacity (MW)'!K55),'Capacity (MW)'!K55=0,ISTEXT('Generation (TWh)'!L55)),"n/a",'Generation (TWh)'!L55*1000000/('Capacity (MW)'!K55*$C55)),"n/a")</f>
        <v/>
      </c>
      <c r="M55" s="37">
        <f>IFERROR(IF(OR(ISTEXT('Capacity (MW)'!L55),'Capacity (MW)'!L55=0,ISTEXT('Generation (TWh)'!M55)),"n/a",'Generation (TWh)'!M55*1000000/('Capacity (MW)'!L55*$C55)),"n/a")</f>
        <v/>
      </c>
      <c r="N55" s="37">
        <f>IFERROR(IF(OR(ISTEXT('Capacity (MW)'!M55),'Capacity (MW)'!M55=0,ISTEXT('Generation (TWh)'!N55)),"n/a",'Generation (TWh)'!N55*1000000/('Capacity (MW)'!M55*$C55)),"n/a")</f>
        <v/>
      </c>
      <c r="O55" s="37">
        <f>IFERROR(IF(OR(ISTEXT('Capacity (MW)'!N55),'Capacity (MW)'!N55=0,ISTEXT('Generation (TWh)'!O55)),"n/a",'Generation (TWh)'!O55*1000000/('Capacity (MW)'!N55*$C55)),"n/a")</f>
        <v/>
      </c>
      <c r="P55" s="37">
        <f>IFERROR(IF(OR(ISTEXT('Capacity (MW)'!O55),'Capacity (MW)'!O55=0,ISTEXT('Generation (TWh)'!P55)),"n/a",'Generation (TWh)'!P55*1000000/('Capacity (MW)'!O55*$C55)),"n/a")</f>
        <v/>
      </c>
    </row>
    <row r="56" ht="15" customHeight="1" s="22">
      <c r="A56" s="31" t="n">
        <v>2012</v>
      </c>
      <c r="B56" s="31" t="n">
        <v>4</v>
      </c>
      <c r="C56" s="31" t="n">
        <v>2208</v>
      </c>
      <c r="D56" s="37">
        <f>IFERROR(IF(OR(ISTEXT('Capacity (MW)'!C56),'Capacity (MW)'!C56=0,ISTEXT('Generation (TWh)'!D56)),"n/a",'Generation (TWh)'!D56*1000000/('Capacity (MW)'!C56*$C56)),"n/a")</f>
        <v/>
      </c>
      <c r="E56" s="37">
        <f>IFERROR(IF(OR(ISTEXT('Capacity (MW)'!D56),'Capacity (MW)'!D56=0,ISTEXT('Generation (TWh)'!E56)),"n/a",'Generation (TWh)'!E56*1000000/('Capacity (MW)'!D56*$C56)),"n/a")</f>
        <v/>
      </c>
      <c r="F56" s="37">
        <f>IFERROR(IF(OR(ISTEXT('Capacity (MW)'!E56),'Capacity (MW)'!E56=0,ISTEXT('Generation (TWh)'!F56)),"n/a",'Generation (TWh)'!F56*1000000/('Capacity (MW)'!E56*$C56)),"n/a")</f>
        <v/>
      </c>
      <c r="G56" s="37">
        <f>IFERROR(IF(OR(ISTEXT('Capacity (MW)'!F56),'Capacity (MW)'!F56=0,ISTEXT('Generation (TWh)'!G56)),"n/a",'Generation (TWh)'!G56*1000000/('Capacity (MW)'!F56*$C56)),"n/a")</f>
        <v/>
      </c>
      <c r="H56" s="37">
        <f>IFERROR(IF(OR(ISTEXT('Capacity (MW)'!G56),'Capacity (MW)'!G56=0,ISTEXT('Generation (TWh)'!H56)),"n/a",'Generation (TWh)'!H56*1000000/('Capacity (MW)'!G56*$C56)),"n/a")</f>
        <v/>
      </c>
      <c r="I56" s="37">
        <f>IFERROR(IF(OR(ISTEXT('Capacity (MW)'!H56),'Capacity (MW)'!H56=0,ISTEXT('Generation (TWh)'!I56)),"n/a",'Generation (TWh)'!I56*1000000/('Capacity (MW)'!H56*$C56)),"n/a")</f>
        <v/>
      </c>
      <c r="J56" s="37">
        <f>IFERROR(IF(OR(ISTEXT('Capacity (MW)'!I56),'Capacity (MW)'!I56=0,ISTEXT('Generation (TWh)'!J56)),"n/a",'Generation (TWh)'!J56*1000000/('Capacity (MW)'!I56*$C56)),"n/a")</f>
        <v/>
      </c>
      <c r="K56" s="37">
        <f>IFERROR(IF(OR(ISTEXT('Capacity (MW)'!J56),'Capacity (MW)'!J56=0,ISTEXT('Generation (TWh)'!K56)),"n/a",'Generation (TWh)'!K56*1000000/('Capacity (MW)'!J56*$C56)),"n/a")</f>
        <v/>
      </c>
      <c r="L56" s="37">
        <f>IFERROR(IF(OR(ISTEXT('Capacity (MW)'!K56),'Capacity (MW)'!K56=0,ISTEXT('Generation (TWh)'!L56)),"n/a",'Generation (TWh)'!L56*1000000/('Capacity (MW)'!K56*$C56)),"n/a")</f>
        <v/>
      </c>
      <c r="M56" s="37">
        <f>IFERROR(IF(OR(ISTEXT('Capacity (MW)'!L56),'Capacity (MW)'!L56=0,ISTEXT('Generation (TWh)'!M56)),"n/a",'Generation (TWh)'!M56*1000000/('Capacity (MW)'!L56*$C56)),"n/a")</f>
        <v/>
      </c>
      <c r="N56" s="37">
        <f>IFERROR(IF(OR(ISTEXT('Capacity (MW)'!M56),'Capacity (MW)'!M56=0,ISTEXT('Generation (TWh)'!N56)),"n/a",'Generation (TWh)'!N56*1000000/('Capacity (MW)'!M56*$C56)),"n/a")</f>
        <v/>
      </c>
      <c r="O56" s="37">
        <f>IFERROR(IF(OR(ISTEXT('Capacity (MW)'!N56),'Capacity (MW)'!N56=0,ISTEXT('Generation (TWh)'!O56)),"n/a",'Generation (TWh)'!O56*1000000/('Capacity (MW)'!N56*$C56)),"n/a")</f>
        <v/>
      </c>
      <c r="P56" s="37">
        <f>IFERROR(IF(OR(ISTEXT('Capacity (MW)'!O56),'Capacity (MW)'!O56=0,ISTEXT('Generation (TWh)'!P56)),"n/a",'Generation (TWh)'!P56*1000000/('Capacity (MW)'!O56*$C56)),"n/a")</f>
        <v/>
      </c>
    </row>
    <row r="57" ht="15" customHeight="1" s="22">
      <c r="A57" s="31" t="n">
        <v>2013</v>
      </c>
      <c r="B57" s="31" t="n">
        <v>1</v>
      </c>
      <c r="C57" s="31" t="n">
        <v>2160</v>
      </c>
      <c r="D57" s="37">
        <f>IFERROR(IF(OR(ISTEXT('Capacity (MW)'!C57),'Capacity (MW)'!C57=0,ISTEXT('Generation (TWh)'!D57)),"n/a",'Generation (TWh)'!D57*1000000/('Capacity (MW)'!C57*$C57)),"n/a")</f>
        <v/>
      </c>
      <c r="E57" s="37">
        <f>IFERROR(IF(OR(ISTEXT('Capacity (MW)'!D57),'Capacity (MW)'!D57=0,ISTEXT('Generation (TWh)'!E57)),"n/a",'Generation (TWh)'!E57*1000000/('Capacity (MW)'!D57*$C57)),"n/a")</f>
        <v/>
      </c>
      <c r="F57" s="37">
        <f>IFERROR(IF(OR(ISTEXT('Capacity (MW)'!E57),'Capacity (MW)'!E57=0,ISTEXT('Generation (TWh)'!F57)),"n/a",'Generation (TWh)'!F57*1000000/('Capacity (MW)'!E57*$C57)),"n/a")</f>
        <v/>
      </c>
      <c r="G57" s="37">
        <f>IFERROR(IF(OR(ISTEXT('Capacity (MW)'!F57),'Capacity (MW)'!F57=0,ISTEXT('Generation (TWh)'!G57)),"n/a",'Generation (TWh)'!G57*1000000/('Capacity (MW)'!F57*$C57)),"n/a")</f>
        <v/>
      </c>
      <c r="H57" s="37">
        <f>IFERROR(IF(OR(ISTEXT('Capacity (MW)'!G57),'Capacity (MW)'!G57=0,ISTEXT('Generation (TWh)'!H57)),"n/a",'Generation (TWh)'!H57*1000000/('Capacity (MW)'!G57*$C57)),"n/a")</f>
        <v/>
      </c>
      <c r="I57" s="37">
        <f>IFERROR(IF(OR(ISTEXT('Capacity (MW)'!H57),'Capacity (MW)'!H57=0,ISTEXT('Generation (TWh)'!I57)),"n/a",'Generation (TWh)'!I57*1000000/('Capacity (MW)'!H57*$C57)),"n/a")</f>
        <v/>
      </c>
      <c r="J57" s="37">
        <f>IFERROR(IF(OR(ISTEXT('Capacity (MW)'!I57),'Capacity (MW)'!I57=0,ISTEXT('Generation (TWh)'!J57)),"n/a",'Generation (TWh)'!J57*1000000/('Capacity (MW)'!I57*$C57)),"n/a")</f>
        <v/>
      </c>
      <c r="K57" s="37">
        <f>IFERROR(IF(OR(ISTEXT('Capacity (MW)'!J57),'Capacity (MW)'!J57=0,ISTEXT('Generation (TWh)'!K57)),"n/a",'Generation (TWh)'!K57*1000000/('Capacity (MW)'!J57*$C57)),"n/a")</f>
        <v/>
      </c>
      <c r="L57" s="37">
        <f>IFERROR(IF(OR(ISTEXT('Capacity (MW)'!K57),'Capacity (MW)'!K57=0,ISTEXT('Generation (TWh)'!L57)),"n/a",'Generation (TWh)'!L57*1000000/('Capacity (MW)'!K57*$C57)),"n/a")</f>
        <v/>
      </c>
      <c r="M57" s="37">
        <f>IFERROR(IF(OR(ISTEXT('Capacity (MW)'!L57),'Capacity (MW)'!L57=0,ISTEXT('Generation (TWh)'!M57)),"n/a",'Generation (TWh)'!M57*1000000/('Capacity (MW)'!L57*$C57)),"n/a")</f>
        <v/>
      </c>
      <c r="N57" s="37">
        <f>IFERROR(IF(OR(ISTEXT('Capacity (MW)'!M57),'Capacity (MW)'!M57=0,ISTEXT('Generation (TWh)'!N57)),"n/a",'Generation (TWh)'!N57*1000000/('Capacity (MW)'!M57*$C57)),"n/a")</f>
        <v/>
      </c>
      <c r="O57" s="37">
        <f>IFERROR(IF(OR(ISTEXT('Capacity (MW)'!N57),'Capacity (MW)'!N57=0,ISTEXT('Generation (TWh)'!O57)),"n/a",'Generation (TWh)'!O57*1000000/('Capacity (MW)'!N57*$C57)),"n/a")</f>
        <v/>
      </c>
      <c r="P57" s="37">
        <f>IFERROR(IF(OR(ISTEXT('Capacity (MW)'!O57),'Capacity (MW)'!O57=0,ISTEXT('Generation (TWh)'!P57)),"n/a",'Generation (TWh)'!P57*1000000/('Capacity (MW)'!O57*$C57)),"n/a")</f>
        <v/>
      </c>
    </row>
    <row r="58" ht="15" customHeight="1" s="22">
      <c r="A58" s="31" t="n">
        <v>2013</v>
      </c>
      <c r="B58" s="31" t="n">
        <v>2</v>
      </c>
      <c r="C58" s="31" t="n">
        <v>2184</v>
      </c>
      <c r="D58" s="37">
        <f>IFERROR(IF(OR(ISTEXT('Capacity (MW)'!C58),'Capacity (MW)'!C58=0,ISTEXT('Generation (TWh)'!D58)),"n/a",'Generation (TWh)'!D58*1000000/('Capacity (MW)'!C58*$C58)),"n/a")</f>
        <v/>
      </c>
      <c r="E58" s="37">
        <f>IFERROR(IF(OR(ISTEXT('Capacity (MW)'!D58),'Capacity (MW)'!D58=0,ISTEXT('Generation (TWh)'!E58)),"n/a",'Generation (TWh)'!E58*1000000/('Capacity (MW)'!D58*$C58)),"n/a")</f>
        <v/>
      </c>
      <c r="F58" s="37">
        <f>IFERROR(IF(OR(ISTEXT('Capacity (MW)'!E58),'Capacity (MW)'!E58=0,ISTEXT('Generation (TWh)'!F58)),"n/a",'Generation (TWh)'!F58*1000000/('Capacity (MW)'!E58*$C58)),"n/a")</f>
        <v/>
      </c>
      <c r="G58" s="37">
        <f>IFERROR(IF(OR(ISTEXT('Capacity (MW)'!F58),'Capacity (MW)'!F58=0,ISTEXT('Generation (TWh)'!G58)),"n/a",'Generation (TWh)'!G58*1000000/('Capacity (MW)'!F58*$C58)),"n/a")</f>
        <v/>
      </c>
      <c r="H58" s="37">
        <f>IFERROR(IF(OR(ISTEXT('Capacity (MW)'!G58),'Capacity (MW)'!G58=0,ISTEXT('Generation (TWh)'!H58)),"n/a",'Generation (TWh)'!H58*1000000/('Capacity (MW)'!G58*$C58)),"n/a")</f>
        <v/>
      </c>
      <c r="I58" s="37">
        <f>IFERROR(IF(OR(ISTEXT('Capacity (MW)'!H58),'Capacity (MW)'!H58=0,ISTEXT('Generation (TWh)'!I58)),"n/a",'Generation (TWh)'!I58*1000000/('Capacity (MW)'!H58*$C58)),"n/a")</f>
        <v/>
      </c>
      <c r="J58" s="37">
        <f>IFERROR(IF(OR(ISTEXT('Capacity (MW)'!I58),'Capacity (MW)'!I58=0,ISTEXT('Generation (TWh)'!J58)),"n/a",'Generation (TWh)'!J58*1000000/('Capacity (MW)'!I58*$C58)),"n/a")</f>
        <v/>
      </c>
      <c r="K58" s="37">
        <f>IFERROR(IF(OR(ISTEXT('Capacity (MW)'!J58),'Capacity (MW)'!J58=0,ISTEXT('Generation (TWh)'!K58)),"n/a",'Generation (TWh)'!K58*1000000/('Capacity (MW)'!J58*$C58)),"n/a")</f>
        <v/>
      </c>
      <c r="L58" s="37">
        <f>IFERROR(IF(OR(ISTEXT('Capacity (MW)'!K58),'Capacity (MW)'!K58=0,ISTEXT('Generation (TWh)'!L58)),"n/a",'Generation (TWh)'!L58*1000000/('Capacity (MW)'!K58*$C58)),"n/a")</f>
        <v/>
      </c>
      <c r="M58" s="37">
        <f>IFERROR(IF(OR(ISTEXT('Capacity (MW)'!L58),'Capacity (MW)'!L58=0,ISTEXT('Generation (TWh)'!M58)),"n/a",'Generation (TWh)'!M58*1000000/('Capacity (MW)'!L58*$C58)),"n/a")</f>
        <v/>
      </c>
      <c r="N58" s="37">
        <f>IFERROR(IF(OR(ISTEXT('Capacity (MW)'!M58),'Capacity (MW)'!M58=0,ISTEXT('Generation (TWh)'!N58)),"n/a",'Generation (TWh)'!N58*1000000/('Capacity (MW)'!M58*$C58)),"n/a")</f>
        <v/>
      </c>
      <c r="O58" s="37">
        <f>IFERROR(IF(OR(ISTEXT('Capacity (MW)'!N58),'Capacity (MW)'!N58=0,ISTEXT('Generation (TWh)'!O58)),"n/a",'Generation (TWh)'!O58*1000000/('Capacity (MW)'!N58*$C58)),"n/a")</f>
        <v/>
      </c>
      <c r="P58" s="37">
        <f>IFERROR(IF(OR(ISTEXT('Capacity (MW)'!O58),'Capacity (MW)'!O58=0,ISTEXT('Generation (TWh)'!P58)),"n/a",'Generation (TWh)'!P58*1000000/('Capacity (MW)'!O58*$C58)),"n/a")</f>
        <v/>
      </c>
    </row>
    <row r="59" ht="15" customHeight="1" s="22">
      <c r="A59" s="31" t="n">
        <v>2013</v>
      </c>
      <c r="B59" s="31" t="n">
        <v>3</v>
      </c>
      <c r="C59" s="31" t="n">
        <v>2208</v>
      </c>
      <c r="D59" s="37">
        <f>IFERROR(IF(OR(ISTEXT('Capacity (MW)'!C59),'Capacity (MW)'!C59=0,ISTEXT('Generation (TWh)'!D59)),"n/a",'Generation (TWh)'!D59*1000000/('Capacity (MW)'!C59*$C59)),"n/a")</f>
        <v/>
      </c>
      <c r="E59" s="37">
        <f>IFERROR(IF(OR(ISTEXT('Capacity (MW)'!D59),'Capacity (MW)'!D59=0,ISTEXT('Generation (TWh)'!E59)),"n/a",'Generation (TWh)'!E59*1000000/('Capacity (MW)'!D59*$C59)),"n/a")</f>
        <v/>
      </c>
      <c r="F59" s="37">
        <f>IFERROR(IF(OR(ISTEXT('Capacity (MW)'!E59),'Capacity (MW)'!E59=0,ISTEXT('Generation (TWh)'!F59)),"n/a",'Generation (TWh)'!F59*1000000/('Capacity (MW)'!E59*$C59)),"n/a")</f>
        <v/>
      </c>
      <c r="G59" s="37">
        <f>IFERROR(IF(OR(ISTEXT('Capacity (MW)'!F59),'Capacity (MW)'!F59=0,ISTEXT('Generation (TWh)'!G59)),"n/a",'Generation (TWh)'!G59*1000000/('Capacity (MW)'!F59*$C59)),"n/a")</f>
        <v/>
      </c>
      <c r="H59" s="37">
        <f>IFERROR(IF(OR(ISTEXT('Capacity (MW)'!G59),'Capacity (MW)'!G59=0,ISTEXT('Generation (TWh)'!H59)),"n/a",'Generation (TWh)'!H59*1000000/('Capacity (MW)'!G59*$C59)),"n/a")</f>
        <v/>
      </c>
      <c r="I59" s="37">
        <f>IFERROR(IF(OR(ISTEXT('Capacity (MW)'!H59),'Capacity (MW)'!H59=0,ISTEXT('Generation (TWh)'!I59)),"n/a",'Generation (TWh)'!I59*1000000/('Capacity (MW)'!H59*$C59)),"n/a")</f>
        <v/>
      </c>
      <c r="J59" s="37">
        <f>IFERROR(IF(OR(ISTEXT('Capacity (MW)'!I59),'Capacity (MW)'!I59=0,ISTEXT('Generation (TWh)'!J59)),"n/a",'Generation (TWh)'!J59*1000000/('Capacity (MW)'!I59*$C59)),"n/a")</f>
        <v/>
      </c>
      <c r="K59" s="37">
        <f>IFERROR(IF(OR(ISTEXT('Capacity (MW)'!J59),'Capacity (MW)'!J59=0,ISTEXT('Generation (TWh)'!K59)),"n/a",'Generation (TWh)'!K59*1000000/('Capacity (MW)'!J59*$C59)),"n/a")</f>
        <v/>
      </c>
      <c r="L59" s="37">
        <f>IFERROR(IF(OR(ISTEXT('Capacity (MW)'!K59),'Capacity (MW)'!K59=0,ISTEXT('Generation (TWh)'!L59)),"n/a",'Generation (TWh)'!L59*1000000/('Capacity (MW)'!K59*$C59)),"n/a")</f>
        <v/>
      </c>
      <c r="M59" s="37">
        <f>IFERROR(IF(OR(ISTEXT('Capacity (MW)'!L59),'Capacity (MW)'!L59=0,ISTEXT('Generation (TWh)'!M59)),"n/a",'Generation (TWh)'!M59*1000000/('Capacity (MW)'!L59*$C59)),"n/a")</f>
        <v/>
      </c>
      <c r="N59" s="37">
        <f>IFERROR(IF(OR(ISTEXT('Capacity (MW)'!M59),'Capacity (MW)'!M59=0,ISTEXT('Generation (TWh)'!N59)),"n/a",'Generation (TWh)'!N59*1000000/('Capacity (MW)'!M59*$C59)),"n/a")</f>
        <v/>
      </c>
      <c r="O59" s="37">
        <f>IFERROR(IF(OR(ISTEXT('Capacity (MW)'!N59),'Capacity (MW)'!N59=0,ISTEXT('Generation (TWh)'!O59)),"n/a",'Generation (TWh)'!O59*1000000/('Capacity (MW)'!N59*$C59)),"n/a")</f>
        <v/>
      </c>
      <c r="P59" s="37">
        <f>IFERROR(IF(OR(ISTEXT('Capacity (MW)'!O59),'Capacity (MW)'!O59=0,ISTEXT('Generation (TWh)'!P59)),"n/a",'Generation (TWh)'!P59*1000000/('Capacity (MW)'!O59*$C59)),"n/a")</f>
        <v/>
      </c>
    </row>
    <row r="60" ht="15" customHeight="1" s="22">
      <c r="A60" s="31" t="n">
        <v>2013</v>
      </c>
      <c r="B60" s="31" t="n">
        <v>4</v>
      </c>
      <c r="C60" s="31" t="n">
        <v>2208</v>
      </c>
      <c r="D60" s="37">
        <f>IFERROR(IF(OR(ISTEXT('Capacity (MW)'!C60),'Capacity (MW)'!C60=0,ISTEXT('Generation (TWh)'!D60)),"n/a",'Generation (TWh)'!D60*1000000/('Capacity (MW)'!C60*$C60)),"n/a")</f>
        <v/>
      </c>
      <c r="E60" s="37">
        <f>IFERROR(IF(OR(ISTEXT('Capacity (MW)'!D60),'Capacity (MW)'!D60=0,ISTEXT('Generation (TWh)'!E60)),"n/a",'Generation (TWh)'!E60*1000000/('Capacity (MW)'!D60*$C60)),"n/a")</f>
        <v/>
      </c>
      <c r="F60" s="37">
        <f>IFERROR(IF(OR(ISTEXT('Capacity (MW)'!E60),'Capacity (MW)'!E60=0,ISTEXT('Generation (TWh)'!F60)),"n/a",'Generation (TWh)'!F60*1000000/('Capacity (MW)'!E60*$C60)),"n/a")</f>
        <v/>
      </c>
      <c r="G60" s="37">
        <f>IFERROR(IF(OR(ISTEXT('Capacity (MW)'!F60),'Capacity (MW)'!F60=0,ISTEXT('Generation (TWh)'!G60)),"n/a",'Generation (TWh)'!G60*1000000/('Capacity (MW)'!F60*$C60)),"n/a")</f>
        <v/>
      </c>
      <c r="H60" s="37">
        <f>IFERROR(IF(OR(ISTEXT('Capacity (MW)'!G60),'Capacity (MW)'!G60=0,ISTEXT('Generation (TWh)'!H60)),"n/a",'Generation (TWh)'!H60*1000000/('Capacity (MW)'!G60*$C60)),"n/a")</f>
        <v/>
      </c>
      <c r="I60" s="37">
        <f>IFERROR(IF(OR(ISTEXT('Capacity (MW)'!H60),'Capacity (MW)'!H60=0,ISTEXT('Generation (TWh)'!I60)),"n/a",'Generation (TWh)'!I60*1000000/('Capacity (MW)'!H60*$C60)),"n/a")</f>
        <v/>
      </c>
      <c r="J60" s="37">
        <f>IFERROR(IF(OR(ISTEXT('Capacity (MW)'!I60),'Capacity (MW)'!I60=0,ISTEXT('Generation (TWh)'!J60)),"n/a",'Generation (TWh)'!J60*1000000/('Capacity (MW)'!I60*$C60)),"n/a")</f>
        <v/>
      </c>
      <c r="K60" s="37">
        <f>IFERROR(IF(OR(ISTEXT('Capacity (MW)'!J60),'Capacity (MW)'!J60=0,ISTEXT('Generation (TWh)'!K60)),"n/a",'Generation (TWh)'!K60*1000000/('Capacity (MW)'!J60*$C60)),"n/a")</f>
        <v/>
      </c>
      <c r="L60" s="37">
        <f>IFERROR(IF(OR(ISTEXT('Capacity (MW)'!K60),'Capacity (MW)'!K60=0,ISTEXT('Generation (TWh)'!L60)),"n/a",'Generation (TWh)'!L60*1000000/('Capacity (MW)'!K60*$C60)),"n/a")</f>
        <v/>
      </c>
      <c r="M60" s="37">
        <f>IFERROR(IF(OR(ISTEXT('Capacity (MW)'!L60),'Capacity (MW)'!L60=0,ISTEXT('Generation (TWh)'!M60)),"n/a",'Generation (TWh)'!M60*1000000/('Capacity (MW)'!L60*$C60)),"n/a")</f>
        <v/>
      </c>
      <c r="N60" s="37">
        <f>IFERROR(IF(OR(ISTEXT('Capacity (MW)'!M60),'Capacity (MW)'!M60=0,ISTEXT('Generation (TWh)'!N60)),"n/a",'Generation (TWh)'!N60*1000000/('Capacity (MW)'!M60*$C60)),"n/a")</f>
        <v/>
      </c>
      <c r="O60" s="37">
        <f>IFERROR(IF(OR(ISTEXT('Capacity (MW)'!N60),'Capacity (MW)'!N60=0,ISTEXT('Generation (TWh)'!O60)),"n/a",'Generation (TWh)'!O60*1000000/('Capacity (MW)'!N60*$C60)),"n/a")</f>
        <v/>
      </c>
      <c r="P60" s="37">
        <f>IFERROR(IF(OR(ISTEXT('Capacity (MW)'!O60),'Capacity (MW)'!O60=0,ISTEXT('Generation (TWh)'!P60)),"n/a",'Generation (TWh)'!P60*1000000/('Capacity (MW)'!O60*$C60)),"n/a")</f>
        <v/>
      </c>
    </row>
    <row r="61" ht="15" customHeight="1" s="22">
      <c r="A61" s="31" t="n">
        <v>2014</v>
      </c>
      <c r="B61" s="31" t="n">
        <v>1</v>
      </c>
      <c r="C61" s="31" t="n">
        <v>2160</v>
      </c>
      <c r="D61" s="37">
        <f>IFERROR(IF(OR(ISTEXT('Capacity (MW)'!C61),'Capacity (MW)'!C61=0,ISTEXT('Generation (TWh)'!D61)),"n/a",'Generation (TWh)'!D61*1000000/('Capacity (MW)'!C61*$C61)),"n/a")</f>
        <v/>
      </c>
      <c r="E61" s="37">
        <f>IFERROR(IF(OR(ISTEXT('Capacity (MW)'!D61),'Capacity (MW)'!D61=0,ISTEXT('Generation (TWh)'!E61)),"n/a",'Generation (TWh)'!E61*1000000/('Capacity (MW)'!D61*$C61)),"n/a")</f>
        <v/>
      </c>
      <c r="F61" s="37">
        <f>IFERROR(IF(OR(ISTEXT('Capacity (MW)'!E61),'Capacity (MW)'!E61=0,ISTEXT('Generation (TWh)'!F61)),"n/a",'Generation (TWh)'!F61*1000000/('Capacity (MW)'!E61*$C61)),"n/a")</f>
        <v/>
      </c>
      <c r="G61" s="37">
        <f>IFERROR(IF(OR(ISTEXT('Capacity (MW)'!F61),'Capacity (MW)'!F61=0,ISTEXT('Generation (TWh)'!G61)),"n/a",'Generation (TWh)'!G61*1000000/('Capacity (MW)'!F61*$C61)),"n/a")</f>
        <v/>
      </c>
      <c r="H61" s="37">
        <f>IFERROR(IF(OR(ISTEXT('Capacity (MW)'!G61),'Capacity (MW)'!G61=0,ISTEXT('Generation (TWh)'!H61)),"n/a",'Generation (TWh)'!H61*1000000/('Capacity (MW)'!G61*$C61)),"n/a")</f>
        <v/>
      </c>
      <c r="I61" s="37">
        <f>IFERROR(IF(OR(ISTEXT('Capacity (MW)'!H61),'Capacity (MW)'!H61=0,ISTEXT('Generation (TWh)'!I61)),"n/a",'Generation (TWh)'!I61*1000000/('Capacity (MW)'!H61*$C61)),"n/a")</f>
        <v/>
      </c>
      <c r="J61" s="37">
        <f>IFERROR(IF(OR(ISTEXT('Capacity (MW)'!I61),'Capacity (MW)'!I61=0,ISTEXT('Generation (TWh)'!J61)),"n/a",'Generation (TWh)'!J61*1000000/('Capacity (MW)'!I61*$C61)),"n/a")</f>
        <v/>
      </c>
      <c r="K61" s="37">
        <f>IFERROR(IF(OR(ISTEXT('Capacity (MW)'!J61),'Capacity (MW)'!J61=0,ISTEXT('Generation (TWh)'!K61)),"n/a",'Generation (TWh)'!K61*1000000/('Capacity (MW)'!J61*$C61)),"n/a")</f>
        <v/>
      </c>
      <c r="L61" s="37">
        <f>IFERROR(IF(OR(ISTEXT('Capacity (MW)'!K61),'Capacity (MW)'!K61=0,ISTEXT('Generation (TWh)'!L61)),"n/a",'Generation (TWh)'!L61*1000000/('Capacity (MW)'!K61*$C61)),"n/a")</f>
        <v/>
      </c>
      <c r="M61" s="37">
        <f>IFERROR(IF(OR(ISTEXT('Capacity (MW)'!L61),'Capacity (MW)'!L61=0,ISTEXT('Generation (TWh)'!M61)),"n/a",'Generation (TWh)'!M61*1000000/('Capacity (MW)'!L61*$C61)),"n/a")</f>
        <v/>
      </c>
      <c r="N61" s="37">
        <f>IFERROR(IF(OR(ISTEXT('Capacity (MW)'!M61),'Capacity (MW)'!M61=0,ISTEXT('Generation (TWh)'!N61)),"n/a",'Generation (TWh)'!N61*1000000/('Capacity (MW)'!M61*$C61)),"n/a")</f>
        <v/>
      </c>
      <c r="O61" s="37">
        <f>IFERROR(IF(OR(ISTEXT('Capacity (MW)'!N61),'Capacity (MW)'!N61=0,ISTEXT('Generation (TWh)'!O61)),"n/a",'Generation (TWh)'!O61*1000000/('Capacity (MW)'!N61*$C61)),"n/a")</f>
        <v/>
      </c>
      <c r="P61" s="37">
        <f>IFERROR(IF(OR(ISTEXT('Capacity (MW)'!O61),'Capacity (MW)'!O61=0,ISTEXT('Generation (TWh)'!P61)),"n/a",'Generation (TWh)'!P61*1000000/('Capacity (MW)'!O61*$C61)),"n/a")</f>
        <v/>
      </c>
    </row>
    <row r="62" ht="15" customHeight="1" s="22">
      <c r="A62" s="31" t="n">
        <v>2014</v>
      </c>
      <c r="B62" s="31" t="n">
        <v>2</v>
      </c>
      <c r="C62" s="31" t="n">
        <v>2184</v>
      </c>
      <c r="D62" s="37">
        <f>IFERROR(IF(OR(ISTEXT('Capacity (MW)'!C62),'Capacity (MW)'!C62=0,ISTEXT('Generation (TWh)'!D62)),"n/a",'Generation (TWh)'!D62*1000000/('Capacity (MW)'!C62*$C62)),"n/a")</f>
        <v/>
      </c>
      <c r="E62" s="37">
        <f>IFERROR(IF(OR(ISTEXT('Capacity (MW)'!D62),'Capacity (MW)'!D62=0,ISTEXT('Generation (TWh)'!E62)),"n/a",'Generation (TWh)'!E62*1000000/('Capacity (MW)'!D62*$C62)),"n/a")</f>
        <v/>
      </c>
      <c r="F62" s="37">
        <f>IFERROR(IF(OR(ISTEXT('Capacity (MW)'!E62),'Capacity (MW)'!E62=0,ISTEXT('Generation (TWh)'!F62)),"n/a",'Generation (TWh)'!F62*1000000/('Capacity (MW)'!E62*$C62)),"n/a")</f>
        <v/>
      </c>
      <c r="G62" s="37">
        <f>IFERROR(IF(OR(ISTEXT('Capacity (MW)'!F62),'Capacity (MW)'!F62=0,ISTEXT('Generation (TWh)'!G62)),"n/a",'Generation (TWh)'!G62*1000000/('Capacity (MW)'!F62*$C62)),"n/a")</f>
        <v/>
      </c>
      <c r="H62" s="37">
        <f>IFERROR(IF(OR(ISTEXT('Capacity (MW)'!G62),'Capacity (MW)'!G62=0,ISTEXT('Generation (TWh)'!H62)),"n/a",'Generation (TWh)'!H62*1000000/('Capacity (MW)'!G62*$C62)),"n/a")</f>
        <v/>
      </c>
      <c r="I62" s="37">
        <f>IFERROR(IF(OR(ISTEXT('Capacity (MW)'!H62),'Capacity (MW)'!H62=0,ISTEXT('Generation (TWh)'!I62)),"n/a",'Generation (TWh)'!I62*1000000/('Capacity (MW)'!H62*$C62)),"n/a")</f>
        <v/>
      </c>
      <c r="J62" s="37">
        <f>IFERROR(IF(OR(ISTEXT('Capacity (MW)'!I62),'Capacity (MW)'!I62=0,ISTEXT('Generation (TWh)'!J62)),"n/a",'Generation (TWh)'!J62*1000000/('Capacity (MW)'!I62*$C62)),"n/a")</f>
        <v/>
      </c>
      <c r="K62" s="37">
        <f>IFERROR(IF(OR(ISTEXT('Capacity (MW)'!J62),'Capacity (MW)'!J62=0,ISTEXT('Generation (TWh)'!K62)),"n/a",'Generation (TWh)'!K62*1000000/('Capacity (MW)'!J62*$C62)),"n/a")</f>
        <v/>
      </c>
      <c r="L62" s="37">
        <f>IFERROR(IF(OR(ISTEXT('Capacity (MW)'!K62),'Capacity (MW)'!K62=0,ISTEXT('Generation (TWh)'!L62)),"n/a",'Generation (TWh)'!L62*1000000/('Capacity (MW)'!K62*$C62)),"n/a")</f>
        <v/>
      </c>
      <c r="M62" s="37">
        <f>IFERROR(IF(OR(ISTEXT('Capacity (MW)'!L62),'Capacity (MW)'!L62=0,ISTEXT('Generation (TWh)'!M62)),"n/a",'Generation (TWh)'!M62*1000000/('Capacity (MW)'!L62*$C62)),"n/a")</f>
        <v/>
      </c>
      <c r="N62" s="37">
        <f>IFERROR(IF(OR(ISTEXT('Capacity (MW)'!M62),'Capacity (MW)'!M62=0,ISTEXT('Generation (TWh)'!N62)),"n/a",'Generation (TWh)'!N62*1000000/('Capacity (MW)'!M62*$C62)),"n/a")</f>
        <v/>
      </c>
      <c r="O62" s="37">
        <f>IFERROR(IF(OR(ISTEXT('Capacity (MW)'!N62),'Capacity (MW)'!N62=0,ISTEXT('Generation (TWh)'!O62)),"n/a",'Generation (TWh)'!O62*1000000/('Capacity (MW)'!N62*$C62)),"n/a")</f>
        <v/>
      </c>
      <c r="P62" s="37">
        <f>IFERROR(IF(OR(ISTEXT('Capacity (MW)'!O62),'Capacity (MW)'!O62=0,ISTEXT('Generation (TWh)'!P62)),"n/a",'Generation (TWh)'!P62*1000000/('Capacity (MW)'!O62*$C62)),"n/a")</f>
        <v/>
      </c>
    </row>
    <row r="63" ht="15" customHeight="1" s="22">
      <c r="A63" s="31" t="n">
        <v>2014</v>
      </c>
      <c r="B63" s="31" t="n">
        <v>3</v>
      </c>
      <c r="C63" s="31" t="n">
        <v>2208</v>
      </c>
      <c r="D63" s="37">
        <f>IFERROR(IF(OR(ISTEXT('Capacity (MW)'!C63),'Capacity (MW)'!C63=0,ISTEXT('Generation (TWh)'!D63)),"n/a",'Generation (TWh)'!D63*1000000/('Capacity (MW)'!C63*$C63)),"n/a")</f>
        <v/>
      </c>
      <c r="E63" s="37">
        <f>IFERROR(IF(OR(ISTEXT('Capacity (MW)'!D63),'Capacity (MW)'!D63=0,ISTEXT('Generation (TWh)'!E63)),"n/a",'Generation (TWh)'!E63*1000000/('Capacity (MW)'!D63*$C63)),"n/a")</f>
        <v/>
      </c>
      <c r="F63" s="37">
        <f>IFERROR(IF(OR(ISTEXT('Capacity (MW)'!E63),'Capacity (MW)'!E63=0,ISTEXT('Generation (TWh)'!F63)),"n/a",'Generation (TWh)'!F63*1000000/('Capacity (MW)'!E63*$C63)),"n/a")</f>
        <v/>
      </c>
      <c r="G63" s="37">
        <f>IFERROR(IF(OR(ISTEXT('Capacity (MW)'!F63),'Capacity (MW)'!F63=0,ISTEXT('Generation (TWh)'!G63)),"n/a",'Generation (TWh)'!G63*1000000/('Capacity (MW)'!F63*$C63)),"n/a")</f>
        <v/>
      </c>
      <c r="H63" s="37">
        <f>IFERROR(IF(OR(ISTEXT('Capacity (MW)'!G63),'Capacity (MW)'!G63=0,ISTEXT('Generation (TWh)'!H63)),"n/a",'Generation (TWh)'!H63*1000000/('Capacity (MW)'!G63*$C63)),"n/a")</f>
        <v/>
      </c>
      <c r="I63" s="37">
        <f>IFERROR(IF(OR(ISTEXT('Capacity (MW)'!H63),'Capacity (MW)'!H63=0,ISTEXT('Generation (TWh)'!I63)),"n/a",'Generation (TWh)'!I63*1000000/('Capacity (MW)'!H63*$C63)),"n/a")</f>
        <v/>
      </c>
      <c r="J63" s="37">
        <f>IFERROR(IF(OR(ISTEXT('Capacity (MW)'!I63),'Capacity (MW)'!I63=0,ISTEXT('Generation (TWh)'!J63)),"n/a",'Generation (TWh)'!J63*1000000/('Capacity (MW)'!I63*$C63)),"n/a")</f>
        <v/>
      </c>
      <c r="K63" s="37">
        <f>IFERROR(IF(OR(ISTEXT('Capacity (MW)'!J63),'Capacity (MW)'!J63=0,ISTEXT('Generation (TWh)'!K63)),"n/a",'Generation (TWh)'!K63*1000000/('Capacity (MW)'!J63*$C63)),"n/a")</f>
        <v/>
      </c>
      <c r="L63" s="37">
        <f>IFERROR(IF(OR(ISTEXT('Capacity (MW)'!K63),'Capacity (MW)'!K63=0,ISTEXT('Generation (TWh)'!L63)),"n/a",'Generation (TWh)'!L63*1000000/('Capacity (MW)'!K63*$C63)),"n/a")</f>
        <v/>
      </c>
      <c r="M63" s="37">
        <f>IFERROR(IF(OR(ISTEXT('Capacity (MW)'!L63),'Capacity (MW)'!L63=0,ISTEXT('Generation (TWh)'!M63)),"n/a",'Generation (TWh)'!M63*1000000/('Capacity (MW)'!L63*$C63)),"n/a")</f>
        <v/>
      </c>
      <c r="N63" s="37">
        <f>IFERROR(IF(OR(ISTEXT('Capacity (MW)'!M63),'Capacity (MW)'!M63=0,ISTEXT('Generation (TWh)'!N63)),"n/a",'Generation (TWh)'!N63*1000000/('Capacity (MW)'!M63*$C63)),"n/a")</f>
        <v/>
      </c>
      <c r="O63" s="37">
        <f>IFERROR(IF(OR(ISTEXT('Capacity (MW)'!N63),'Capacity (MW)'!N63=0,ISTEXT('Generation (TWh)'!O63)),"n/a",'Generation (TWh)'!O63*1000000/('Capacity (MW)'!N63*$C63)),"n/a")</f>
        <v/>
      </c>
      <c r="P63" s="37">
        <f>IFERROR(IF(OR(ISTEXT('Capacity (MW)'!O63),'Capacity (MW)'!O63=0,ISTEXT('Generation (TWh)'!P63)),"n/a",'Generation (TWh)'!P63*1000000/('Capacity (MW)'!O63*$C63)),"n/a")</f>
        <v/>
      </c>
    </row>
    <row r="64" ht="15" customHeight="1" s="22">
      <c r="A64" s="31" t="n">
        <v>2014</v>
      </c>
      <c r="B64" s="31" t="n">
        <v>4</v>
      </c>
      <c r="C64" s="31" t="n">
        <v>2208</v>
      </c>
      <c r="D64" s="37">
        <f>IFERROR(IF(OR(ISTEXT('Capacity (MW)'!C64),'Capacity (MW)'!C64=0,ISTEXT('Generation (TWh)'!D64)),"n/a",'Generation (TWh)'!D64*1000000/('Capacity (MW)'!C64*$C64)),"n/a")</f>
        <v/>
      </c>
      <c r="E64" s="37">
        <f>IFERROR(IF(OR(ISTEXT('Capacity (MW)'!D64),'Capacity (MW)'!D64=0,ISTEXT('Generation (TWh)'!E64)),"n/a",'Generation (TWh)'!E64*1000000/('Capacity (MW)'!D64*$C64)),"n/a")</f>
        <v/>
      </c>
      <c r="F64" s="37">
        <f>IFERROR(IF(OR(ISTEXT('Capacity (MW)'!E64),'Capacity (MW)'!E64=0,ISTEXT('Generation (TWh)'!F64)),"n/a",'Generation (TWh)'!F64*1000000/('Capacity (MW)'!E64*$C64)),"n/a")</f>
        <v/>
      </c>
      <c r="G64" s="37">
        <f>IFERROR(IF(OR(ISTEXT('Capacity (MW)'!F64),'Capacity (MW)'!F64=0,ISTEXT('Generation (TWh)'!G64)),"n/a",'Generation (TWh)'!G64*1000000/('Capacity (MW)'!F64*$C64)),"n/a")</f>
        <v/>
      </c>
      <c r="H64" s="37">
        <f>IFERROR(IF(OR(ISTEXT('Capacity (MW)'!G64),'Capacity (MW)'!G64=0,ISTEXT('Generation (TWh)'!H64)),"n/a",'Generation (TWh)'!H64*1000000/('Capacity (MW)'!G64*$C64)),"n/a")</f>
        <v/>
      </c>
      <c r="I64" s="37">
        <f>IFERROR(IF(OR(ISTEXT('Capacity (MW)'!H64),'Capacity (MW)'!H64=0,ISTEXT('Generation (TWh)'!I64)),"n/a",'Generation (TWh)'!I64*1000000/('Capacity (MW)'!H64*$C64)),"n/a")</f>
        <v/>
      </c>
      <c r="J64" s="37">
        <f>IFERROR(IF(OR(ISTEXT('Capacity (MW)'!I64),'Capacity (MW)'!I64=0,ISTEXT('Generation (TWh)'!J64)),"n/a",'Generation (TWh)'!J64*1000000/('Capacity (MW)'!I64*$C64)),"n/a")</f>
        <v/>
      </c>
      <c r="K64" s="37">
        <f>IFERROR(IF(OR(ISTEXT('Capacity (MW)'!J64),'Capacity (MW)'!J64=0,ISTEXT('Generation (TWh)'!K64)),"n/a",'Generation (TWh)'!K64*1000000/('Capacity (MW)'!J64*$C64)),"n/a")</f>
        <v/>
      </c>
      <c r="L64" s="37">
        <f>IFERROR(IF(OR(ISTEXT('Capacity (MW)'!K64),'Capacity (MW)'!K64=0,ISTEXT('Generation (TWh)'!L64)),"n/a",'Generation (TWh)'!L64*1000000/('Capacity (MW)'!K64*$C64)),"n/a")</f>
        <v/>
      </c>
      <c r="M64" s="37">
        <f>IFERROR(IF(OR(ISTEXT('Capacity (MW)'!L64),'Capacity (MW)'!L64=0,ISTEXT('Generation (TWh)'!M64)),"n/a",'Generation (TWh)'!M64*1000000/('Capacity (MW)'!L64*$C64)),"n/a")</f>
        <v/>
      </c>
      <c r="N64" s="37">
        <f>IFERROR(IF(OR(ISTEXT('Capacity (MW)'!M64),'Capacity (MW)'!M64=0,ISTEXT('Generation (TWh)'!N64)),"n/a",'Generation (TWh)'!N64*1000000/('Capacity (MW)'!M64*$C64)),"n/a")</f>
        <v/>
      </c>
      <c r="O64" s="37">
        <f>IFERROR(IF(OR(ISTEXT('Capacity (MW)'!N64),'Capacity (MW)'!N64=0,ISTEXT('Generation (TWh)'!O64)),"n/a",'Generation (TWh)'!O64*1000000/('Capacity (MW)'!N64*$C64)),"n/a")</f>
        <v/>
      </c>
      <c r="P64" s="37">
        <f>IFERROR(IF(OR(ISTEXT('Capacity (MW)'!O64),'Capacity (MW)'!O64=0,ISTEXT('Generation (TWh)'!P64)),"n/a",'Generation (TWh)'!P64*1000000/('Capacity (MW)'!O64*$C64)),"n/a")</f>
        <v/>
      </c>
    </row>
    <row r="65" ht="15" customHeight="1" s="22">
      <c r="A65" s="31" t="n">
        <v>2015</v>
      </c>
      <c r="B65" s="31" t="n">
        <v>1</v>
      </c>
      <c r="C65" s="31" t="n">
        <v>2160</v>
      </c>
      <c r="D65" s="37">
        <f>IFERROR(IF(OR(ISTEXT('Capacity (MW)'!C65),'Capacity (MW)'!C65=0,ISTEXT('Generation (TWh)'!D65)),"n/a",'Generation (TWh)'!D65*1000000/('Capacity (MW)'!C65*$C65)),"n/a")</f>
        <v/>
      </c>
      <c r="E65" s="37">
        <f>IFERROR(IF(OR(ISTEXT('Capacity (MW)'!D65),'Capacity (MW)'!D65=0,ISTEXT('Generation (TWh)'!E65)),"n/a",'Generation (TWh)'!E65*1000000/('Capacity (MW)'!D65*$C65)),"n/a")</f>
        <v/>
      </c>
      <c r="F65" s="37">
        <f>IFERROR(IF(OR(ISTEXT('Capacity (MW)'!E65),'Capacity (MW)'!E65=0,ISTEXT('Generation (TWh)'!F65)),"n/a",'Generation (TWh)'!F65*1000000/('Capacity (MW)'!E65*$C65)),"n/a")</f>
        <v/>
      </c>
      <c r="G65" s="37">
        <f>IFERROR(IF(OR(ISTEXT('Capacity (MW)'!F65),'Capacity (MW)'!F65=0,ISTEXT('Generation (TWh)'!G65)),"n/a",'Generation (TWh)'!G65*1000000/('Capacity (MW)'!F65*$C65)),"n/a")</f>
        <v/>
      </c>
      <c r="H65" s="37">
        <f>IFERROR(IF(OR(ISTEXT('Capacity (MW)'!G65),'Capacity (MW)'!G65=0,ISTEXT('Generation (TWh)'!H65)),"n/a",'Generation (TWh)'!H65*1000000/('Capacity (MW)'!G65*$C65)),"n/a")</f>
        <v/>
      </c>
      <c r="I65" s="37">
        <f>IFERROR(IF(OR(ISTEXT('Capacity (MW)'!H65),'Capacity (MW)'!H65=0,ISTEXT('Generation (TWh)'!I65)),"n/a",'Generation (TWh)'!I65*1000000/('Capacity (MW)'!H65*$C65)),"n/a")</f>
        <v/>
      </c>
      <c r="J65" s="37">
        <f>IFERROR(IF(OR(ISTEXT('Capacity (MW)'!I65),'Capacity (MW)'!I65=0,ISTEXT('Generation (TWh)'!J65)),"n/a",'Generation (TWh)'!J65*1000000/('Capacity (MW)'!I65*$C65)),"n/a")</f>
        <v/>
      </c>
      <c r="K65" s="37">
        <f>IFERROR(IF(OR(ISTEXT('Capacity (MW)'!J65),'Capacity (MW)'!J65=0,ISTEXT('Generation (TWh)'!K65)),"n/a",'Generation (TWh)'!K65*1000000/('Capacity (MW)'!J65*$C65)),"n/a")</f>
        <v/>
      </c>
      <c r="L65" s="37">
        <f>IFERROR(IF(OR(ISTEXT('Capacity (MW)'!K65),'Capacity (MW)'!K65=0,ISTEXT('Generation (TWh)'!L65)),"n/a",'Generation (TWh)'!L65*1000000/('Capacity (MW)'!K65*$C65)),"n/a")</f>
        <v/>
      </c>
      <c r="M65" s="37">
        <f>IFERROR(IF(OR(ISTEXT('Capacity (MW)'!L65),'Capacity (MW)'!L65=0,ISTEXT('Generation (TWh)'!M65)),"n/a",'Generation (TWh)'!M65*1000000/('Capacity (MW)'!L65*$C65)),"n/a")</f>
        <v/>
      </c>
      <c r="N65" s="37">
        <f>IFERROR(IF(OR(ISTEXT('Capacity (MW)'!M65),'Capacity (MW)'!M65=0,ISTEXT('Generation (TWh)'!N65)),"n/a",'Generation (TWh)'!N65*1000000/('Capacity (MW)'!M65*$C65)),"n/a")</f>
        <v/>
      </c>
      <c r="O65" s="37">
        <f>IFERROR(IF(OR(ISTEXT('Capacity (MW)'!N65),'Capacity (MW)'!N65=0,ISTEXT('Generation (TWh)'!O65)),"n/a",'Generation (TWh)'!O65*1000000/('Capacity (MW)'!N65*$C65)),"n/a")</f>
        <v/>
      </c>
      <c r="P65" s="37">
        <f>IFERROR(IF(OR(ISTEXT('Capacity (MW)'!O65),'Capacity (MW)'!O65=0,ISTEXT('Generation (TWh)'!P65)),"n/a",'Generation (TWh)'!P65*1000000/('Capacity (MW)'!O65*$C65)),"n/a")</f>
        <v/>
      </c>
    </row>
    <row r="66" ht="15" customHeight="1" s="22">
      <c r="A66" s="31" t="n">
        <v>2015</v>
      </c>
      <c r="B66" s="31" t="n">
        <v>2</v>
      </c>
      <c r="C66" s="31" t="n">
        <v>2184</v>
      </c>
      <c r="D66" s="37">
        <f>IFERROR(IF(OR(ISTEXT('Capacity (MW)'!C66),'Capacity (MW)'!C66=0,ISTEXT('Generation (TWh)'!D66)),"n/a",'Generation (TWh)'!D66*1000000/('Capacity (MW)'!C66*$C66)),"n/a")</f>
        <v/>
      </c>
      <c r="E66" s="37">
        <f>IFERROR(IF(OR(ISTEXT('Capacity (MW)'!D66),'Capacity (MW)'!D66=0,ISTEXT('Generation (TWh)'!E66)),"n/a",'Generation (TWh)'!E66*1000000/('Capacity (MW)'!D66*$C66)),"n/a")</f>
        <v/>
      </c>
      <c r="F66" s="37">
        <f>IFERROR(IF(OR(ISTEXT('Capacity (MW)'!E66),'Capacity (MW)'!E66=0,ISTEXT('Generation (TWh)'!F66)),"n/a",'Generation (TWh)'!F66*1000000/('Capacity (MW)'!E66*$C66)),"n/a")</f>
        <v/>
      </c>
      <c r="G66" s="37">
        <f>IFERROR(IF(OR(ISTEXT('Capacity (MW)'!F66),'Capacity (MW)'!F66=0,ISTEXT('Generation (TWh)'!G66)),"n/a",'Generation (TWh)'!G66*1000000/('Capacity (MW)'!F66*$C66)),"n/a")</f>
        <v/>
      </c>
      <c r="H66" s="37">
        <f>IFERROR(IF(OR(ISTEXT('Capacity (MW)'!G66),'Capacity (MW)'!G66=0,ISTEXT('Generation (TWh)'!H66)),"n/a",'Generation (TWh)'!H66*1000000/('Capacity (MW)'!G66*$C66)),"n/a")</f>
        <v/>
      </c>
      <c r="I66" s="37">
        <f>IFERROR(IF(OR(ISTEXT('Capacity (MW)'!H66),'Capacity (MW)'!H66=0,ISTEXT('Generation (TWh)'!I66)),"n/a",'Generation (TWh)'!I66*1000000/('Capacity (MW)'!H66*$C66)),"n/a")</f>
        <v/>
      </c>
      <c r="J66" s="37">
        <f>IFERROR(IF(OR(ISTEXT('Capacity (MW)'!I66),'Capacity (MW)'!I66=0,ISTEXT('Generation (TWh)'!J66)),"n/a",'Generation (TWh)'!J66*1000000/('Capacity (MW)'!I66*$C66)),"n/a")</f>
        <v/>
      </c>
      <c r="K66" s="37">
        <f>IFERROR(IF(OR(ISTEXT('Capacity (MW)'!J66),'Capacity (MW)'!J66=0,ISTEXT('Generation (TWh)'!K66)),"n/a",'Generation (TWh)'!K66*1000000/('Capacity (MW)'!J66*$C66)),"n/a")</f>
        <v/>
      </c>
      <c r="L66" s="37">
        <f>IFERROR(IF(OR(ISTEXT('Capacity (MW)'!K66),'Capacity (MW)'!K66=0,ISTEXT('Generation (TWh)'!L66)),"n/a",'Generation (TWh)'!L66*1000000/('Capacity (MW)'!K66*$C66)),"n/a")</f>
        <v/>
      </c>
      <c r="M66" s="37">
        <f>IFERROR(IF(OR(ISTEXT('Capacity (MW)'!L66),'Capacity (MW)'!L66=0,ISTEXT('Generation (TWh)'!M66)),"n/a",'Generation (TWh)'!M66*1000000/('Capacity (MW)'!L66*$C66)),"n/a")</f>
        <v/>
      </c>
      <c r="N66" s="37">
        <f>IFERROR(IF(OR(ISTEXT('Capacity (MW)'!M66),'Capacity (MW)'!M66=0,ISTEXT('Generation (TWh)'!N66)),"n/a",'Generation (TWh)'!N66*1000000/('Capacity (MW)'!M66*$C66)),"n/a")</f>
        <v/>
      </c>
      <c r="O66" s="37">
        <f>IFERROR(IF(OR(ISTEXT('Capacity (MW)'!N66),'Capacity (MW)'!N66=0,ISTEXT('Generation (TWh)'!O66)),"n/a",'Generation (TWh)'!O66*1000000/('Capacity (MW)'!N66*$C66)),"n/a")</f>
        <v/>
      </c>
      <c r="P66" s="37">
        <f>IFERROR(IF(OR(ISTEXT('Capacity (MW)'!O66),'Capacity (MW)'!O66=0,ISTEXT('Generation (TWh)'!P66)),"n/a",'Generation (TWh)'!P66*1000000/('Capacity (MW)'!O66*$C66)),"n/a")</f>
        <v/>
      </c>
    </row>
    <row r="67" ht="15" customHeight="1" s="22">
      <c r="A67" s="31" t="n">
        <v>2015</v>
      </c>
      <c r="B67" s="31" t="n">
        <v>3</v>
      </c>
      <c r="C67" s="31" t="n">
        <v>2208</v>
      </c>
      <c r="D67" s="37">
        <f>IFERROR(IF(OR(ISTEXT('Capacity (MW)'!C67),'Capacity (MW)'!C67=0,ISTEXT('Generation (TWh)'!D67)),"n/a",'Generation (TWh)'!D67*1000000/('Capacity (MW)'!C67*$C67)),"n/a")</f>
        <v/>
      </c>
      <c r="E67" s="37">
        <f>IFERROR(IF(OR(ISTEXT('Capacity (MW)'!D67),'Capacity (MW)'!D67=0,ISTEXT('Generation (TWh)'!E67)),"n/a",'Generation (TWh)'!E67*1000000/('Capacity (MW)'!D67*$C67)),"n/a")</f>
        <v/>
      </c>
      <c r="F67" s="37">
        <f>IFERROR(IF(OR(ISTEXT('Capacity (MW)'!E67),'Capacity (MW)'!E67=0,ISTEXT('Generation (TWh)'!F67)),"n/a",'Generation (TWh)'!F67*1000000/('Capacity (MW)'!E67*$C67)),"n/a")</f>
        <v/>
      </c>
      <c r="G67" s="37">
        <f>IFERROR(IF(OR(ISTEXT('Capacity (MW)'!F67),'Capacity (MW)'!F67=0,ISTEXT('Generation (TWh)'!G67)),"n/a",'Generation (TWh)'!G67*1000000/('Capacity (MW)'!F67*$C67)),"n/a")</f>
        <v/>
      </c>
      <c r="H67" s="37">
        <f>IFERROR(IF(OR(ISTEXT('Capacity (MW)'!G67),'Capacity (MW)'!G67=0,ISTEXT('Generation (TWh)'!H67)),"n/a",'Generation (TWh)'!H67*1000000/('Capacity (MW)'!G67*$C67)),"n/a")</f>
        <v/>
      </c>
      <c r="I67" s="37">
        <f>IFERROR(IF(OR(ISTEXT('Capacity (MW)'!H67),'Capacity (MW)'!H67=0,ISTEXT('Generation (TWh)'!I67)),"n/a",'Generation (TWh)'!I67*1000000/('Capacity (MW)'!H67*$C67)),"n/a")</f>
        <v/>
      </c>
      <c r="J67" s="37">
        <f>IFERROR(IF(OR(ISTEXT('Capacity (MW)'!I67),'Capacity (MW)'!I67=0,ISTEXT('Generation (TWh)'!J67)),"n/a",'Generation (TWh)'!J67*1000000/('Capacity (MW)'!I67*$C67)),"n/a")</f>
        <v/>
      </c>
      <c r="K67" s="37">
        <f>IFERROR(IF(OR(ISTEXT('Capacity (MW)'!J67),'Capacity (MW)'!J67=0,ISTEXT('Generation (TWh)'!K67)),"n/a",'Generation (TWh)'!K67*1000000/('Capacity (MW)'!J67*$C67)),"n/a")</f>
        <v/>
      </c>
      <c r="L67" s="37">
        <f>IFERROR(IF(OR(ISTEXT('Capacity (MW)'!K67),'Capacity (MW)'!K67=0,ISTEXT('Generation (TWh)'!L67)),"n/a",'Generation (TWh)'!L67*1000000/('Capacity (MW)'!K67*$C67)),"n/a")</f>
        <v/>
      </c>
      <c r="M67" s="37">
        <f>IFERROR(IF(OR(ISTEXT('Capacity (MW)'!L67),'Capacity (MW)'!L67=0,ISTEXT('Generation (TWh)'!M67)),"n/a",'Generation (TWh)'!M67*1000000/('Capacity (MW)'!L67*$C67)),"n/a")</f>
        <v/>
      </c>
      <c r="N67" s="37">
        <f>IFERROR(IF(OR(ISTEXT('Capacity (MW)'!M67),'Capacity (MW)'!M67=0,ISTEXT('Generation (TWh)'!N67)),"n/a",'Generation (TWh)'!N67*1000000/('Capacity (MW)'!M67*$C67)),"n/a")</f>
        <v/>
      </c>
      <c r="O67" s="37">
        <f>IFERROR(IF(OR(ISTEXT('Capacity (MW)'!N67),'Capacity (MW)'!N67=0,ISTEXT('Generation (TWh)'!O67)),"n/a",'Generation (TWh)'!O67*1000000/('Capacity (MW)'!N67*$C67)),"n/a")</f>
        <v/>
      </c>
      <c r="P67" s="37">
        <f>IFERROR(IF(OR(ISTEXT('Capacity (MW)'!O67),'Capacity (MW)'!O67=0,ISTEXT('Generation (TWh)'!P67)),"n/a",'Generation (TWh)'!P67*1000000/('Capacity (MW)'!O67*$C67)),"n/a")</f>
        <v/>
      </c>
    </row>
    <row r="68" ht="15" customHeight="1" s="22">
      <c r="A68" s="31" t="n">
        <v>2015</v>
      </c>
      <c r="B68" s="31" t="n">
        <v>4</v>
      </c>
      <c r="C68" s="31" t="n">
        <v>2208</v>
      </c>
      <c r="D68" s="37">
        <f>IFERROR(IF(OR(ISTEXT('Capacity (MW)'!C68),'Capacity (MW)'!C68=0,ISTEXT('Generation (TWh)'!D68)),"n/a",'Generation (TWh)'!D68*1000000/('Capacity (MW)'!C68*$C68)),"n/a")</f>
        <v/>
      </c>
      <c r="E68" s="37">
        <f>IFERROR(IF(OR(ISTEXT('Capacity (MW)'!D68),'Capacity (MW)'!D68=0,ISTEXT('Generation (TWh)'!E68)),"n/a",'Generation (TWh)'!E68*1000000/('Capacity (MW)'!D68*$C68)),"n/a")</f>
        <v/>
      </c>
      <c r="F68" s="37">
        <f>IFERROR(IF(OR(ISTEXT('Capacity (MW)'!E68),'Capacity (MW)'!E68=0,ISTEXT('Generation (TWh)'!F68)),"n/a",'Generation (TWh)'!F68*1000000/('Capacity (MW)'!E68*$C68)),"n/a")</f>
        <v/>
      </c>
      <c r="G68" s="37">
        <f>IFERROR(IF(OR(ISTEXT('Capacity (MW)'!F68),'Capacity (MW)'!F68=0,ISTEXT('Generation (TWh)'!G68)),"n/a",'Generation (TWh)'!G68*1000000/('Capacity (MW)'!F68*$C68)),"n/a")</f>
        <v/>
      </c>
      <c r="H68" s="37">
        <f>IFERROR(IF(OR(ISTEXT('Capacity (MW)'!G68),'Capacity (MW)'!G68=0,ISTEXT('Generation (TWh)'!H68)),"n/a",'Generation (TWh)'!H68*1000000/('Capacity (MW)'!G68*$C68)),"n/a")</f>
        <v/>
      </c>
      <c r="I68" s="37">
        <f>IFERROR(IF(OR(ISTEXT('Capacity (MW)'!H68),'Capacity (MW)'!H68=0,ISTEXT('Generation (TWh)'!I68)),"n/a",'Generation (TWh)'!I68*1000000/('Capacity (MW)'!H68*$C68)),"n/a")</f>
        <v/>
      </c>
      <c r="J68" s="37">
        <f>IFERROR(IF(OR(ISTEXT('Capacity (MW)'!I68),'Capacity (MW)'!I68=0,ISTEXT('Generation (TWh)'!J68)),"n/a",'Generation (TWh)'!J68*1000000/('Capacity (MW)'!I68*$C68)),"n/a")</f>
        <v/>
      </c>
      <c r="K68" s="37">
        <f>IFERROR(IF(OR(ISTEXT('Capacity (MW)'!J68),'Capacity (MW)'!J68=0,ISTEXT('Generation (TWh)'!K68)),"n/a",'Generation (TWh)'!K68*1000000/('Capacity (MW)'!J68*$C68)),"n/a")</f>
        <v/>
      </c>
      <c r="L68" s="37">
        <f>IFERROR(IF(OR(ISTEXT('Capacity (MW)'!K68),'Capacity (MW)'!K68=0,ISTEXT('Generation (TWh)'!L68)),"n/a",'Generation (TWh)'!L68*1000000/('Capacity (MW)'!K68*$C68)),"n/a")</f>
        <v/>
      </c>
      <c r="M68" s="37">
        <f>IFERROR(IF(OR(ISTEXT('Capacity (MW)'!L68),'Capacity (MW)'!L68=0,ISTEXT('Generation (TWh)'!M68)),"n/a",'Generation (TWh)'!M68*1000000/('Capacity (MW)'!L68*$C68)),"n/a")</f>
        <v/>
      </c>
      <c r="N68" s="37">
        <f>IFERROR(IF(OR(ISTEXT('Capacity (MW)'!M68),'Capacity (MW)'!M68=0,ISTEXT('Generation (TWh)'!N68)),"n/a",'Generation (TWh)'!N68*1000000/('Capacity (MW)'!M68*$C68)),"n/a")</f>
        <v/>
      </c>
      <c r="O68" s="37">
        <f>IFERROR(IF(OR(ISTEXT('Capacity (MW)'!N68),'Capacity (MW)'!N68=0,ISTEXT('Generation (TWh)'!O68)),"n/a",'Generation (TWh)'!O68*1000000/('Capacity (MW)'!N68*$C68)),"n/a")</f>
        <v/>
      </c>
      <c r="P68" s="37">
        <f>IFERROR(IF(OR(ISTEXT('Capacity (MW)'!O68),'Capacity (MW)'!O68=0,ISTEXT('Generation (TWh)'!P68)),"n/a",'Generation (TWh)'!P68*1000000/('Capacity (MW)'!O68*$C68)),"n/a")</f>
        <v/>
      </c>
    </row>
    <row r="69" ht="15" customHeight="1" s="22">
      <c r="A69" s="31" t="n">
        <v>2016</v>
      </c>
      <c r="B69" s="31" t="n">
        <v>1</v>
      </c>
      <c r="C69" s="31" t="n">
        <v>2184</v>
      </c>
      <c r="D69" s="37">
        <f>IFERROR(IF(OR(ISTEXT('Capacity (MW)'!C69),'Capacity (MW)'!C69=0,ISTEXT('Generation (TWh)'!D69)),"n/a",'Generation (TWh)'!D69*1000000/('Capacity (MW)'!C69*$C69)),"n/a")</f>
        <v/>
      </c>
      <c r="E69" s="37">
        <f>IFERROR(IF(OR(ISTEXT('Capacity (MW)'!D69),'Capacity (MW)'!D69=0,ISTEXT('Generation (TWh)'!E69)),"n/a",'Generation (TWh)'!E69*1000000/('Capacity (MW)'!D69*$C69)),"n/a")</f>
        <v/>
      </c>
      <c r="F69" s="37">
        <f>IFERROR(IF(OR(ISTEXT('Capacity (MW)'!E69),'Capacity (MW)'!E69=0,ISTEXT('Generation (TWh)'!F69)),"n/a",'Generation (TWh)'!F69*1000000/('Capacity (MW)'!E69*$C69)),"n/a")</f>
        <v/>
      </c>
      <c r="G69" s="37">
        <f>IFERROR(IF(OR(ISTEXT('Capacity (MW)'!F69),'Capacity (MW)'!F69=0,ISTEXT('Generation (TWh)'!G69)),"n/a",'Generation (TWh)'!G69*1000000/('Capacity (MW)'!F69*$C69)),"n/a")</f>
        <v/>
      </c>
      <c r="H69" s="37">
        <f>IFERROR(IF(OR(ISTEXT('Capacity (MW)'!G69),'Capacity (MW)'!G69=0,ISTEXT('Generation (TWh)'!H69)),"n/a",'Generation (TWh)'!H69*1000000/('Capacity (MW)'!G69*$C69)),"n/a")</f>
        <v/>
      </c>
      <c r="I69" s="37">
        <f>IFERROR(IF(OR(ISTEXT('Capacity (MW)'!H69),'Capacity (MW)'!H69=0,ISTEXT('Generation (TWh)'!I69)),"n/a",'Generation (TWh)'!I69*1000000/('Capacity (MW)'!H69*$C69)),"n/a")</f>
        <v/>
      </c>
      <c r="J69" s="37">
        <f>IFERROR(IF(OR(ISTEXT('Capacity (MW)'!I69),'Capacity (MW)'!I69=0,ISTEXT('Generation (TWh)'!J69)),"n/a",'Generation (TWh)'!J69*1000000/('Capacity (MW)'!I69*$C69)),"n/a")</f>
        <v/>
      </c>
      <c r="K69" s="37">
        <f>IFERROR(IF(OR(ISTEXT('Capacity (MW)'!J69),'Capacity (MW)'!J69=0,ISTEXT('Generation (TWh)'!K69)),"n/a",'Generation (TWh)'!K69*1000000/('Capacity (MW)'!J69*$C69)),"n/a")</f>
        <v/>
      </c>
      <c r="L69" s="37">
        <f>IFERROR(IF(OR(ISTEXT('Capacity (MW)'!K69),'Capacity (MW)'!K69=0,ISTEXT('Generation (TWh)'!L69)),"n/a",'Generation (TWh)'!L69*1000000/('Capacity (MW)'!K69*$C69)),"n/a")</f>
        <v/>
      </c>
      <c r="M69" s="37">
        <f>IFERROR(IF(OR(ISTEXT('Capacity (MW)'!L69),'Capacity (MW)'!L69=0,ISTEXT('Generation (TWh)'!M69)),"n/a",'Generation (TWh)'!M69*1000000/('Capacity (MW)'!L69*$C69)),"n/a")</f>
        <v/>
      </c>
      <c r="N69" s="37">
        <f>IFERROR(IF(OR(ISTEXT('Capacity (MW)'!M69),'Capacity (MW)'!M69=0,ISTEXT('Generation (TWh)'!N69)),"n/a",'Generation (TWh)'!N69*1000000/('Capacity (MW)'!M69*$C69)),"n/a")</f>
        <v/>
      </c>
      <c r="O69" s="37">
        <f>IFERROR(IF(OR(ISTEXT('Capacity (MW)'!N69),'Capacity (MW)'!N69=0,ISTEXT('Generation (TWh)'!O69)),"n/a",'Generation (TWh)'!O69*1000000/('Capacity (MW)'!N69*$C69)),"n/a")</f>
        <v/>
      </c>
      <c r="P69" s="37">
        <f>IFERROR(IF(OR(ISTEXT('Capacity (MW)'!O69),'Capacity (MW)'!O69=0,ISTEXT('Generation (TWh)'!P69)),"n/a",'Generation (TWh)'!P69*1000000/('Capacity (MW)'!O69*$C69)),"n/a")</f>
        <v/>
      </c>
    </row>
    <row r="70" ht="15" customHeight="1" s="22">
      <c r="A70" s="31" t="n">
        <v>2016</v>
      </c>
      <c r="B70" s="31" t="n">
        <v>2</v>
      </c>
      <c r="C70" s="31" t="n">
        <v>2184</v>
      </c>
      <c r="D70" s="37">
        <f>IFERROR(IF(OR(ISTEXT('Capacity (MW)'!C70),'Capacity (MW)'!C70=0,ISTEXT('Generation (TWh)'!D70)),"n/a",'Generation (TWh)'!D70*1000000/('Capacity (MW)'!C70*$C70)),"n/a")</f>
        <v/>
      </c>
      <c r="E70" s="37">
        <f>IFERROR(IF(OR(ISTEXT('Capacity (MW)'!D70),'Capacity (MW)'!D70=0,ISTEXT('Generation (TWh)'!E70)),"n/a",'Generation (TWh)'!E70*1000000/('Capacity (MW)'!D70*$C70)),"n/a")</f>
        <v/>
      </c>
      <c r="F70" s="37">
        <f>IFERROR(IF(OR(ISTEXT('Capacity (MW)'!E70),'Capacity (MW)'!E70=0,ISTEXT('Generation (TWh)'!F70)),"n/a",'Generation (TWh)'!F70*1000000/('Capacity (MW)'!E70*$C70)),"n/a")</f>
        <v/>
      </c>
      <c r="G70" s="37">
        <f>IFERROR(IF(OR(ISTEXT('Capacity (MW)'!F70),'Capacity (MW)'!F70=0,ISTEXT('Generation (TWh)'!G70)),"n/a",'Generation (TWh)'!G70*1000000/('Capacity (MW)'!F70*$C70)),"n/a")</f>
        <v/>
      </c>
      <c r="H70" s="37">
        <f>IFERROR(IF(OR(ISTEXT('Capacity (MW)'!G70),'Capacity (MW)'!G70=0,ISTEXT('Generation (TWh)'!H70)),"n/a",'Generation (TWh)'!H70*1000000/('Capacity (MW)'!G70*$C70)),"n/a")</f>
        <v/>
      </c>
      <c r="I70" s="37">
        <f>IFERROR(IF(OR(ISTEXT('Capacity (MW)'!H70),'Capacity (MW)'!H70=0,ISTEXT('Generation (TWh)'!I70)),"n/a",'Generation (TWh)'!I70*1000000/('Capacity (MW)'!H70*$C70)),"n/a")</f>
        <v/>
      </c>
      <c r="J70" s="37">
        <f>IFERROR(IF(OR(ISTEXT('Capacity (MW)'!I70),'Capacity (MW)'!I70=0,ISTEXT('Generation (TWh)'!J70)),"n/a",'Generation (TWh)'!J70*1000000/('Capacity (MW)'!I70*$C70)),"n/a")</f>
        <v/>
      </c>
      <c r="K70" s="37">
        <f>IFERROR(IF(OR(ISTEXT('Capacity (MW)'!J70),'Capacity (MW)'!J70=0,ISTEXT('Generation (TWh)'!K70)),"n/a",'Generation (TWh)'!K70*1000000/('Capacity (MW)'!J70*$C70)),"n/a")</f>
        <v/>
      </c>
      <c r="L70" s="37">
        <f>IFERROR(IF(OR(ISTEXT('Capacity (MW)'!K70),'Capacity (MW)'!K70=0,ISTEXT('Generation (TWh)'!L70)),"n/a",'Generation (TWh)'!L70*1000000/('Capacity (MW)'!K70*$C70)),"n/a")</f>
        <v/>
      </c>
      <c r="M70" s="37">
        <f>IFERROR(IF(OR(ISTEXT('Capacity (MW)'!L70),'Capacity (MW)'!L70=0,ISTEXT('Generation (TWh)'!M70)),"n/a",'Generation (TWh)'!M70*1000000/('Capacity (MW)'!L70*$C70)),"n/a")</f>
        <v/>
      </c>
      <c r="N70" s="37">
        <f>IFERROR(IF(OR(ISTEXT('Capacity (MW)'!M70),'Capacity (MW)'!M70=0,ISTEXT('Generation (TWh)'!N70)),"n/a",'Generation (TWh)'!N70*1000000/('Capacity (MW)'!M70*$C70)),"n/a")</f>
        <v/>
      </c>
      <c r="O70" s="37">
        <f>IFERROR(IF(OR(ISTEXT('Capacity (MW)'!N70),'Capacity (MW)'!N70=0,ISTEXT('Generation (TWh)'!O70)),"n/a",'Generation (TWh)'!O70*1000000/('Capacity (MW)'!N70*$C70)),"n/a")</f>
        <v/>
      </c>
      <c r="P70" s="37">
        <f>IFERROR(IF(OR(ISTEXT('Capacity (MW)'!O70),'Capacity (MW)'!O70=0,ISTEXT('Generation (TWh)'!P70)),"n/a",'Generation (TWh)'!P70*1000000/('Capacity (MW)'!O70*$C70)),"n/a")</f>
        <v/>
      </c>
    </row>
    <row r="71" ht="15" customHeight="1" s="22">
      <c r="A71" s="31" t="n">
        <v>2016</v>
      </c>
      <c r="B71" s="31" t="n">
        <v>3</v>
      </c>
      <c r="C71" s="31" t="n">
        <v>2208</v>
      </c>
      <c r="D71" s="37">
        <f>IFERROR(IF(OR(ISTEXT('Capacity (MW)'!C71),'Capacity (MW)'!C71=0,ISTEXT('Generation (TWh)'!D71)),"n/a",'Generation (TWh)'!D71*1000000/('Capacity (MW)'!C71*$C71)),"n/a")</f>
        <v/>
      </c>
      <c r="E71" s="37">
        <f>IFERROR(IF(OR(ISTEXT('Capacity (MW)'!D71),'Capacity (MW)'!D71=0,ISTEXT('Generation (TWh)'!E71)),"n/a",'Generation (TWh)'!E71*1000000/('Capacity (MW)'!D71*$C71)),"n/a")</f>
        <v/>
      </c>
      <c r="F71" s="37">
        <f>IFERROR(IF(OR(ISTEXT('Capacity (MW)'!E71),'Capacity (MW)'!E71=0,ISTEXT('Generation (TWh)'!F71)),"n/a",'Generation (TWh)'!F71*1000000/('Capacity (MW)'!E71*$C71)),"n/a")</f>
        <v/>
      </c>
      <c r="G71" s="37">
        <f>IFERROR(IF(OR(ISTEXT('Capacity (MW)'!F71),'Capacity (MW)'!F71=0,ISTEXT('Generation (TWh)'!G71)),"n/a",'Generation (TWh)'!G71*1000000/('Capacity (MW)'!F71*$C71)),"n/a")</f>
        <v/>
      </c>
      <c r="H71" s="37">
        <f>IFERROR(IF(OR(ISTEXT('Capacity (MW)'!G71),'Capacity (MW)'!G71=0,ISTEXT('Generation (TWh)'!H71)),"n/a",'Generation (TWh)'!H71*1000000/('Capacity (MW)'!G71*$C71)),"n/a")</f>
        <v/>
      </c>
      <c r="I71" s="37">
        <f>IFERROR(IF(OR(ISTEXT('Capacity (MW)'!H71),'Capacity (MW)'!H71=0,ISTEXT('Generation (TWh)'!I71)),"n/a",'Generation (TWh)'!I71*1000000/('Capacity (MW)'!H71*$C71)),"n/a")</f>
        <v/>
      </c>
      <c r="J71" s="37">
        <f>IFERROR(IF(OR(ISTEXT('Capacity (MW)'!I71),'Capacity (MW)'!I71=0,ISTEXT('Generation (TWh)'!J71)),"n/a",'Generation (TWh)'!J71*1000000/('Capacity (MW)'!I71*$C71)),"n/a")</f>
        <v/>
      </c>
      <c r="K71" s="37">
        <f>IFERROR(IF(OR(ISTEXT('Capacity (MW)'!J71),'Capacity (MW)'!J71=0,ISTEXT('Generation (TWh)'!K71)),"n/a",'Generation (TWh)'!K71*1000000/('Capacity (MW)'!J71*$C71)),"n/a")</f>
        <v/>
      </c>
      <c r="L71" s="37">
        <f>IFERROR(IF(OR(ISTEXT('Capacity (MW)'!K71),'Capacity (MW)'!K71=0,ISTEXT('Generation (TWh)'!L71)),"n/a",'Generation (TWh)'!L71*1000000/('Capacity (MW)'!K71*$C71)),"n/a")</f>
        <v/>
      </c>
      <c r="M71" s="37">
        <f>IFERROR(IF(OR(ISTEXT('Capacity (MW)'!L71),'Capacity (MW)'!L71=0,ISTEXT('Generation (TWh)'!M71)),"n/a",'Generation (TWh)'!M71*1000000/('Capacity (MW)'!L71*$C71)),"n/a")</f>
        <v/>
      </c>
      <c r="N71" s="37">
        <f>IFERROR(IF(OR(ISTEXT('Capacity (MW)'!M71),'Capacity (MW)'!M71=0,ISTEXT('Generation (TWh)'!N71)),"n/a",'Generation (TWh)'!N71*1000000/('Capacity (MW)'!M71*$C71)),"n/a")</f>
        <v/>
      </c>
      <c r="O71" s="37">
        <f>IFERROR(IF(OR(ISTEXT('Capacity (MW)'!N71),'Capacity (MW)'!N71=0,ISTEXT('Generation (TWh)'!O71)),"n/a",'Generation (TWh)'!O71*1000000/('Capacity (MW)'!N71*$C71)),"n/a")</f>
        <v/>
      </c>
      <c r="P71" s="37">
        <f>IFERROR(IF(OR(ISTEXT('Capacity (MW)'!O71),'Capacity (MW)'!O71=0,ISTEXT('Generation (TWh)'!P71)),"n/a",'Generation (TWh)'!P71*1000000/('Capacity (MW)'!O71*$C71)),"n/a")</f>
        <v/>
      </c>
    </row>
    <row r="72" ht="15" customHeight="1" s="22">
      <c r="A72" s="31" t="n">
        <v>2016</v>
      </c>
      <c r="B72" s="31" t="n">
        <v>4</v>
      </c>
      <c r="C72" s="31" t="n">
        <v>2208</v>
      </c>
      <c r="D72" s="37">
        <f>IFERROR(IF(OR(ISTEXT('Capacity (MW)'!C72),'Capacity (MW)'!C72=0,ISTEXT('Generation (TWh)'!D72)),"n/a",'Generation (TWh)'!D72*1000000/('Capacity (MW)'!C72*$C72)),"n/a")</f>
        <v/>
      </c>
      <c r="E72" s="37">
        <f>IFERROR(IF(OR(ISTEXT('Capacity (MW)'!D72),'Capacity (MW)'!D72=0,ISTEXT('Generation (TWh)'!E72)),"n/a",'Generation (TWh)'!E72*1000000/('Capacity (MW)'!D72*$C72)),"n/a")</f>
        <v/>
      </c>
      <c r="F72" s="37">
        <f>IFERROR(IF(OR(ISTEXT('Capacity (MW)'!E72),'Capacity (MW)'!E72=0,ISTEXT('Generation (TWh)'!F72)),"n/a",'Generation (TWh)'!F72*1000000/('Capacity (MW)'!E72*$C72)),"n/a")</f>
        <v/>
      </c>
      <c r="G72" s="37">
        <f>IFERROR(IF(OR(ISTEXT('Capacity (MW)'!F72),'Capacity (MW)'!F72=0,ISTEXT('Generation (TWh)'!G72)),"n/a",'Generation (TWh)'!G72*1000000/('Capacity (MW)'!F72*$C72)),"n/a")</f>
        <v/>
      </c>
      <c r="H72" s="37">
        <f>IFERROR(IF(OR(ISTEXT('Capacity (MW)'!G72),'Capacity (MW)'!G72=0,ISTEXT('Generation (TWh)'!H72)),"n/a",'Generation (TWh)'!H72*1000000/('Capacity (MW)'!G72*$C72)),"n/a")</f>
        <v/>
      </c>
      <c r="I72" s="37">
        <f>IFERROR(IF(OR(ISTEXT('Capacity (MW)'!H72),'Capacity (MW)'!H72=0,ISTEXT('Generation (TWh)'!I72)),"n/a",'Generation (TWh)'!I72*1000000/('Capacity (MW)'!H72*$C72)),"n/a")</f>
        <v/>
      </c>
      <c r="J72" s="37">
        <f>IFERROR(IF(OR(ISTEXT('Capacity (MW)'!I72),'Capacity (MW)'!I72=0,ISTEXT('Generation (TWh)'!J72)),"n/a",'Generation (TWh)'!J72*1000000/('Capacity (MW)'!I72*$C72)),"n/a")</f>
        <v/>
      </c>
      <c r="K72" s="37">
        <f>IFERROR(IF(OR(ISTEXT('Capacity (MW)'!J72),'Capacity (MW)'!J72=0,ISTEXT('Generation (TWh)'!K72)),"n/a",'Generation (TWh)'!K72*1000000/('Capacity (MW)'!J72*$C72)),"n/a")</f>
        <v/>
      </c>
      <c r="L72" s="37">
        <f>IFERROR(IF(OR(ISTEXT('Capacity (MW)'!K72),'Capacity (MW)'!K72=0,ISTEXT('Generation (TWh)'!L72)),"n/a",'Generation (TWh)'!L72*1000000/('Capacity (MW)'!K72*$C72)),"n/a")</f>
        <v/>
      </c>
      <c r="M72" s="37">
        <f>IFERROR(IF(OR(ISTEXT('Capacity (MW)'!L72),'Capacity (MW)'!L72=0,ISTEXT('Generation (TWh)'!M72)),"n/a",'Generation (TWh)'!M72*1000000/('Capacity (MW)'!L72*$C72)),"n/a")</f>
        <v/>
      </c>
      <c r="N72" s="37">
        <f>IFERROR(IF(OR(ISTEXT('Capacity (MW)'!M72),'Capacity (MW)'!M72=0,ISTEXT('Generation (TWh)'!N72)),"n/a",'Generation (TWh)'!N72*1000000/('Capacity (MW)'!M72*$C72)),"n/a")</f>
        <v/>
      </c>
      <c r="O72" s="37">
        <f>IFERROR(IF(OR(ISTEXT('Capacity (MW)'!N72),'Capacity (MW)'!N72=0,ISTEXT('Generation (TWh)'!O72)),"n/a",'Generation (TWh)'!O72*1000000/('Capacity (MW)'!N72*$C72)),"n/a")</f>
        <v/>
      </c>
      <c r="P72" s="37">
        <f>IFERROR(IF(OR(ISTEXT('Capacity (MW)'!O72),'Capacity (MW)'!O72=0,ISTEXT('Generation (TWh)'!P72)),"n/a",'Generation (TWh)'!P72*1000000/('Capacity (MW)'!O72*$C72)),"n/a")</f>
        <v/>
      </c>
    </row>
    <row r="73" ht="15" customHeight="1" s="22">
      <c r="A73" s="31" t="n">
        <v>2017</v>
      </c>
      <c r="B73" s="31" t="n">
        <v>1</v>
      </c>
      <c r="C73" s="31" t="n">
        <v>2160</v>
      </c>
      <c r="D73" s="37">
        <f>IFERROR(IF(OR(ISTEXT('Capacity (MW)'!C73),'Capacity (MW)'!C73=0,ISTEXT('Generation (TWh)'!D73)),"n/a",'Generation (TWh)'!D73*1000000/('Capacity (MW)'!C73*$C73)),"n/a")</f>
        <v/>
      </c>
      <c r="E73" s="37">
        <f>IFERROR(IF(OR(ISTEXT('Capacity (MW)'!D73),'Capacity (MW)'!D73=0,ISTEXT('Generation (TWh)'!E73)),"n/a",'Generation (TWh)'!E73*1000000/('Capacity (MW)'!D73*$C73)),"n/a")</f>
        <v/>
      </c>
      <c r="F73" s="37">
        <f>IFERROR(IF(OR(ISTEXT('Capacity (MW)'!E73),'Capacity (MW)'!E73=0,ISTEXT('Generation (TWh)'!F73)),"n/a",'Generation (TWh)'!F73*1000000/('Capacity (MW)'!E73*$C73)),"n/a")</f>
        <v/>
      </c>
      <c r="G73" s="37">
        <f>IFERROR(IF(OR(ISTEXT('Capacity (MW)'!F73),'Capacity (MW)'!F73=0,ISTEXT('Generation (TWh)'!G73)),"n/a",'Generation (TWh)'!G73*1000000/('Capacity (MW)'!F73*$C73)),"n/a")</f>
        <v/>
      </c>
      <c r="H73" s="37">
        <f>IFERROR(IF(OR(ISTEXT('Capacity (MW)'!G73),'Capacity (MW)'!G73=0,ISTEXT('Generation (TWh)'!H73)),"n/a",'Generation (TWh)'!H73*1000000/('Capacity (MW)'!G73*$C73)),"n/a")</f>
        <v/>
      </c>
      <c r="I73" s="37">
        <f>IFERROR(IF(OR(ISTEXT('Capacity (MW)'!H73),'Capacity (MW)'!H73=0,ISTEXT('Generation (TWh)'!I73)),"n/a",'Generation (TWh)'!I73*1000000/('Capacity (MW)'!H73*$C73)),"n/a")</f>
        <v/>
      </c>
      <c r="J73" s="37">
        <f>IFERROR(IF(OR(ISTEXT('Capacity (MW)'!I73),'Capacity (MW)'!I73=0,ISTEXT('Generation (TWh)'!J73)),"n/a",'Generation (TWh)'!J73*1000000/('Capacity (MW)'!I73*$C73)),"n/a")</f>
        <v/>
      </c>
      <c r="K73" s="37">
        <f>IFERROR(IF(OR(ISTEXT('Capacity (MW)'!J73),'Capacity (MW)'!J73=0,ISTEXT('Generation (TWh)'!K73)),"n/a",'Generation (TWh)'!K73*1000000/('Capacity (MW)'!J73*$C73)),"n/a")</f>
        <v/>
      </c>
      <c r="L73" s="37">
        <f>IFERROR(IF(OR(ISTEXT('Capacity (MW)'!K73),'Capacity (MW)'!K73=0,ISTEXT('Generation (TWh)'!L73)),"n/a",'Generation (TWh)'!L73*1000000/('Capacity (MW)'!K73*$C73)),"n/a")</f>
        <v/>
      </c>
      <c r="M73" s="37">
        <f>IFERROR(IF(OR(ISTEXT('Capacity (MW)'!L73),'Capacity (MW)'!L73=0,ISTEXT('Generation (TWh)'!M73)),"n/a",'Generation (TWh)'!M73*1000000/('Capacity (MW)'!L73*$C73)),"n/a")</f>
        <v/>
      </c>
      <c r="N73" s="37">
        <f>IFERROR(IF(OR(ISTEXT('Capacity (MW)'!M73),'Capacity (MW)'!M73=0,ISTEXT('Generation (TWh)'!N73)),"n/a",'Generation (TWh)'!N73*1000000/('Capacity (MW)'!M73*$C73)),"n/a")</f>
        <v/>
      </c>
      <c r="O73" s="37">
        <f>IFERROR(IF(OR(ISTEXT('Capacity (MW)'!N73),'Capacity (MW)'!N73=0,ISTEXT('Generation (TWh)'!O73)),"n/a",'Generation (TWh)'!O73*1000000/('Capacity (MW)'!N73*$C73)),"n/a")</f>
        <v/>
      </c>
      <c r="P73" s="37">
        <f>IFERROR(IF(OR(ISTEXT('Capacity (MW)'!O73),'Capacity (MW)'!O73=0,ISTEXT('Generation (TWh)'!P73)),"n/a",'Generation (TWh)'!P73*1000000/('Capacity (MW)'!O73*$C73)),"n/a")</f>
        <v/>
      </c>
    </row>
    <row r="74" ht="15" customHeight="1" s="22">
      <c r="A74" s="31" t="n">
        <v>2017</v>
      </c>
      <c r="B74" s="31" t="n">
        <v>2</v>
      </c>
      <c r="C74" s="31" t="n">
        <v>2184</v>
      </c>
      <c r="D74" s="37">
        <f>IFERROR(IF(OR(ISTEXT('Capacity (MW)'!C74),'Capacity (MW)'!C74=0,ISTEXT('Generation (TWh)'!D74)),"n/a",'Generation (TWh)'!D74*1000000/('Capacity (MW)'!C74*$C74)),"n/a")</f>
        <v/>
      </c>
      <c r="E74" s="37">
        <f>IFERROR(IF(OR(ISTEXT('Capacity (MW)'!D74),'Capacity (MW)'!D74=0,ISTEXT('Generation (TWh)'!E74)),"n/a",'Generation (TWh)'!E74*1000000/('Capacity (MW)'!D74*$C74)),"n/a")</f>
        <v/>
      </c>
      <c r="F74" s="37">
        <f>IFERROR(IF(OR(ISTEXT('Capacity (MW)'!E74),'Capacity (MW)'!E74=0,ISTEXT('Generation (TWh)'!F74)),"n/a",'Generation (TWh)'!F74*1000000/('Capacity (MW)'!E74*$C74)),"n/a")</f>
        <v/>
      </c>
      <c r="G74" s="37">
        <f>IFERROR(IF(OR(ISTEXT('Capacity (MW)'!F74),'Capacity (MW)'!F74=0,ISTEXT('Generation (TWh)'!G74)),"n/a",'Generation (TWh)'!G74*1000000/('Capacity (MW)'!F74*$C74)),"n/a")</f>
        <v/>
      </c>
      <c r="H74" s="37">
        <f>IFERROR(IF(OR(ISTEXT('Capacity (MW)'!G74),'Capacity (MW)'!G74=0,ISTEXT('Generation (TWh)'!H74)),"n/a",'Generation (TWh)'!H74*1000000/('Capacity (MW)'!G74*$C74)),"n/a")</f>
        <v/>
      </c>
      <c r="I74" s="37">
        <f>IFERROR(IF(OR(ISTEXT('Capacity (MW)'!H74),'Capacity (MW)'!H74=0,ISTEXT('Generation (TWh)'!I74)),"n/a",'Generation (TWh)'!I74*1000000/('Capacity (MW)'!H74*$C74)),"n/a")</f>
        <v/>
      </c>
      <c r="J74" s="37">
        <f>IFERROR(IF(OR(ISTEXT('Capacity (MW)'!I74),'Capacity (MW)'!I74=0,ISTEXT('Generation (TWh)'!J74)),"n/a",'Generation (TWh)'!J74*1000000/('Capacity (MW)'!I74*$C74)),"n/a")</f>
        <v/>
      </c>
      <c r="K74" s="37">
        <f>IFERROR(IF(OR(ISTEXT('Capacity (MW)'!J74),'Capacity (MW)'!J74=0,ISTEXT('Generation (TWh)'!K74)),"n/a",'Generation (TWh)'!K74*1000000/('Capacity (MW)'!J74*$C74)),"n/a")</f>
        <v/>
      </c>
      <c r="L74" s="37">
        <f>IFERROR(IF(OR(ISTEXT('Capacity (MW)'!K74),'Capacity (MW)'!K74=0,ISTEXT('Generation (TWh)'!L74)),"n/a",'Generation (TWh)'!L74*1000000/('Capacity (MW)'!K74*$C74)),"n/a")</f>
        <v/>
      </c>
      <c r="M74" s="37">
        <f>IFERROR(IF(OR(ISTEXT('Capacity (MW)'!L74),'Capacity (MW)'!L74=0,ISTEXT('Generation (TWh)'!M74)),"n/a",'Generation (TWh)'!M74*1000000/('Capacity (MW)'!L74*$C74)),"n/a")</f>
        <v/>
      </c>
      <c r="N74" s="37">
        <f>IFERROR(IF(OR(ISTEXT('Capacity (MW)'!M74),'Capacity (MW)'!M74=0,ISTEXT('Generation (TWh)'!N74)),"n/a",'Generation (TWh)'!N74*1000000/('Capacity (MW)'!M74*$C74)),"n/a")</f>
        <v/>
      </c>
      <c r="O74" s="37">
        <f>IFERROR(IF(OR(ISTEXT('Capacity (MW)'!N74),'Capacity (MW)'!N74=0,ISTEXT('Generation (TWh)'!O74)),"n/a",'Generation (TWh)'!O74*1000000/('Capacity (MW)'!N74*$C74)),"n/a")</f>
        <v/>
      </c>
      <c r="P74" s="37">
        <f>IFERROR(IF(OR(ISTEXT('Capacity (MW)'!O74),'Capacity (MW)'!O74=0,ISTEXT('Generation (TWh)'!P74)),"n/a",'Generation (TWh)'!P74*1000000/('Capacity (MW)'!O74*$C74)),"n/a")</f>
        <v/>
      </c>
    </row>
    <row r="75" ht="15" customHeight="1" s="22">
      <c r="A75" s="31" t="n">
        <v>2017</v>
      </c>
      <c r="B75" s="31" t="n">
        <v>3</v>
      </c>
      <c r="C75" s="31" t="n">
        <v>2208</v>
      </c>
      <c r="D75" s="37">
        <f>IFERROR(IF(OR(ISTEXT('Capacity (MW)'!C75),'Capacity (MW)'!C75=0,ISTEXT('Generation (TWh)'!D75)),"n/a",'Generation (TWh)'!D75*1000000/('Capacity (MW)'!C75*$C75)),"n/a")</f>
        <v/>
      </c>
      <c r="E75" s="37">
        <f>IFERROR(IF(OR(ISTEXT('Capacity (MW)'!D75),'Capacity (MW)'!D75=0,ISTEXT('Generation (TWh)'!E75)),"n/a",'Generation (TWh)'!E75*1000000/('Capacity (MW)'!D75*$C75)),"n/a")</f>
        <v/>
      </c>
      <c r="F75" s="37">
        <f>IFERROR(IF(OR(ISTEXT('Capacity (MW)'!E75),'Capacity (MW)'!E75=0,ISTEXT('Generation (TWh)'!F75)),"n/a",'Generation (TWh)'!F75*1000000/('Capacity (MW)'!E75*$C75)),"n/a")</f>
        <v/>
      </c>
      <c r="G75" s="37">
        <f>IFERROR(IF(OR(ISTEXT('Capacity (MW)'!F75),'Capacity (MW)'!F75=0,ISTEXT('Generation (TWh)'!G75)),"n/a",'Generation (TWh)'!G75*1000000/('Capacity (MW)'!F75*$C75)),"n/a")</f>
        <v/>
      </c>
      <c r="H75" s="37">
        <f>IFERROR(IF(OR(ISTEXT('Capacity (MW)'!G75),'Capacity (MW)'!G75=0,ISTEXT('Generation (TWh)'!H75)),"n/a",'Generation (TWh)'!H75*1000000/('Capacity (MW)'!G75*$C75)),"n/a")</f>
        <v/>
      </c>
      <c r="I75" s="37">
        <f>IFERROR(IF(OR(ISTEXT('Capacity (MW)'!H75),'Capacity (MW)'!H75=0,ISTEXT('Generation (TWh)'!I75)),"n/a",'Generation (TWh)'!I75*1000000/('Capacity (MW)'!H75*$C75)),"n/a")</f>
        <v/>
      </c>
      <c r="J75" s="37">
        <f>IFERROR(IF(OR(ISTEXT('Capacity (MW)'!I75),'Capacity (MW)'!I75=0,ISTEXT('Generation (TWh)'!J75)),"n/a",'Generation (TWh)'!J75*1000000/('Capacity (MW)'!I75*$C75)),"n/a")</f>
        <v/>
      </c>
      <c r="K75" s="37">
        <f>IFERROR(IF(OR(ISTEXT('Capacity (MW)'!J75),'Capacity (MW)'!J75=0,ISTEXT('Generation (TWh)'!K75)),"n/a",'Generation (TWh)'!K75*1000000/('Capacity (MW)'!J75*$C75)),"n/a")</f>
        <v/>
      </c>
      <c r="L75" s="37">
        <f>IFERROR(IF(OR(ISTEXT('Capacity (MW)'!K75),'Capacity (MW)'!K75=0,ISTEXT('Generation (TWh)'!L75)),"n/a",'Generation (TWh)'!L75*1000000/('Capacity (MW)'!K75*$C75)),"n/a")</f>
        <v/>
      </c>
      <c r="M75" s="37">
        <f>IFERROR(IF(OR(ISTEXT('Capacity (MW)'!L75),'Capacity (MW)'!L75=0,ISTEXT('Generation (TWh)'!M75)),"n/a",'Generation (TWh)'!M75*1000000/('Capacity (MW)'!L75*$C75)),"n/a")</f>
        <v/>
      </c>
      <c r="N75" s="37">
        <f>IFERROR(IF(OR(ISTEXT('Capacity (MW)'!M75),'Capacity (MW)'!M75=0,ISTEXT('Generation (TWh)'!N75)),"n/a",'Generation (TWh)'!N75*1000000/('Capacity (MW)'!M75*$C75)),"n/a")</f>
        <v/>
      </c>
      <c r="O75" s="37">
        <f>IFERROR(IF(OR(ISTEXT('Capacity (MW)'!N75),'Capacity (MW)'!N75=0,ISTEXT('Generation (TWh)'!O75)),"n/a",'Generation (TWh)'!O75*1000000/('Capacity (MW)'!N75*$C75)),"n/a")</f>
        <v/>
      </c>
      <c r="P75" s="37">
        <f>IFERROR(IF(OR(ISTEXT('Capacity (MW)'!O75),'Capacity (MW)'!O75=0,ISTEXT('Generation (TWh)'!P75)),"n/a",'Generation (TWh)'!P75*1000000/('Capacity (MW)'!O75*$C75)),"n/a")</f>
        <v/>
      </c>
    </row>
    <row r="76" ht="15" customHeight="1" s="22">
      <c r="A76" s="31" t="n">
        <v>2017</v>
      </c>
      <c r="B76" s="31" t="n">
        <v>4</v>
      </c>
      <c r="C76" s="31" t="n">
        <v>2208</v>
      </c>
      <c r="D76" s="37">
        <f>IFERROR(IF(OR(ISTEXT('Capacity (MW)'!C76),'Capacity (MW)'!C76=0,ISTEXT('Generation (TWh)'!D76)),"n/a",'Generation (TWh)'!D76*1000000/('Capacity (MW)'!C76*$C76)),"n/a")</f>
        <v/>
      </c>
      <c r="E76" s="37">
        <f>IFERROR(IF(OR(ISTEXT('Capacity (MW)'!D76),'Capacity (MW)'!D76=0,ISTEXT('Generation (TWh)'!E76)),"n/a",'Generation (TWh)'!E76*1000000/('Capacity (MW)'!D76*$C76)),"n/a")</f>
        <v/>
      </c>
      <c r="F76" s="37">
        <f>IFERROR(IF(OR(ISTEXT('Capacity (MW)'!E76),'Capacity (MW)'!E76=0,ISTEXT('Generation (TWh)'!F76)),"n/a",'Generation (TWh)'!F76*1000000/('Capacity (MW)'!E76*$C76)),"n/a")</f>
        <v/>
      </c>
      <c r="G76" s="37">
        <f>IFERROR(IF(OR(ISTEXT('Capacity (MW)'!F76),'Capacity (MW)'!F76=0,ISTEXT('Generation (TWh)'!G76)),"n/a",'Generation (TWh)'!G76*1000000/('Capacity (MW)'!F76*$C76)),"n/a")</f>
        <v/>
      </c>
      <c r="H76" s="37">
        <f>IFERROR(IF(OR(ISTEXT('Capacity (MW)'!G76),'Capacity (MW)'!G76=0,ISTEXT('Generation (TWh)'!H76)),"n/a",'Generation (TWh)'!H76*1000000/('Capacity (MW)'!G76*$C76)),"n/a")</f>
        <v/>
      </c>
      <c r="I76" s="37">
        <f>IFERROR(IF(OR(ISTEXT('Capacity (MW)'!H76),'Capacity (MW)'!H76=0,ISTEXT('Generation (TWh)'!I76)),"n/a",'Generation (TWh)'!I76*1000000/('Capacity (MW)'!H76*$C76)),"n/a")</f>
        <v/>
      </c>
      <c r="J76" s="37">
        <f>IFERROR(IF(OR(ISTEXT('Capacity (MW)'!I76),'Capacity (MW)'!I76=0,ISTEXT('Generation (TWh)'!J76)),"n/a",'Generation (TWh)'!J76*1000000/('Capacity (MW)'!I76*$C76)),"n/a")</f>
        <v/>
      </c>
      <c r="K76" s="37">
        <f>IFERROR(IF(OR(ISTEXT('Capacity (MW)'!J76),'Capacity (MW)'!J76=0,ISTEXT('Generation (TWh)'!K76)),"n/a",'Generation (TWh)'!K76*1000000/('Capacity (MW)'!J76*$C76)),"n/a")</f>
        <v/>
      </c>
      <c r="L76" s="37">
        <f>IFERROR(IF(OR(ISTEXT('Capacity (MW)'!K76),'Capacity (MW)'!K76=0,ISTEXT('Generation (TWh)'!L76)),"n/a",'Generation (TWh)'!L76*1000000/('Capacity (MW)'!K76*$C76)),"n/a")</f>
        <v/>
      </c>
      <c r="M76" s="37">
        <f>IFERROR(IF(OR(ISTEXT('Capacity (MW)'!L76),'Capacity (MW)'!L76=0,ISTEXT('Generation (TWh)'!M76)),"n/a",'Generation (TWh)'!M76*1000000/('Capacity (MW)'!L76*$C76)),"n/a")</f>
        <v/>
      </c>
      <c r="N76" s="37">
        <f>IFERROR(IF(OR(ISTEXT('Capacity (MW)'!M76),'Capacity (MW)'!M76=0,ISTEXT('Generation (TWh)'!N76)),"n/a",'Generation (TWh)'!N76*1000000/('Capacity (MW)'!M76*$C76)),"n/a")</f>
        <v/>
      </c>
      <c r="O76" s="37">
        <f>IFERROR(IF(OR(ISTEXT('Capacity (MW)'!N76),'Capacity (MW)'!N76=0,ISTEXT('Generation (TWh)'!O76)),"n/a",'Generation (TWh)'!O76*1000000/('Capacity (MW)'!N76*$C76)),"n/a")</f>
        <v/>
      </c>
      <c r="P76" s="37">
        <f>IFERROR(IF(OR(ISTEXT('Capacity (MW)'!O76),'Capacity (MW)'!O76=0,ISTEXT('Generation (TWh)'!P76)),"n/a",'Generation (TWh)'!P76*1000000/('Capacity (MW)'!O76*$C76)),"n/a")</f>
        <v/>
      </c>
    </row>
    <row r="77" ht="15" customHeight="1" s="22">
      <c r="A77" s="31" t="n">
        <v>2018</v>
      </c>
      <c r="B77" s="31" t="n">
        <v>1</v>
      </c>
      <c r="C77" s="31" t="n">
        <v>2160</v>
      </c>
      <c r="D77" s="37">
        <f>IFERROR(IF(OR(ISTEXT('Capacity (MW)'!C77),'Capacity (MW)'!C77=0,ISTEXT('Generation (TWh)'!D77)),"n/a",'Generation (TWh)'!D77*1000000/('Capacity (MW)'!C77*$C77)),"n/a")</f>
        <v/>
      </c>
      <c r="E77" s="37">
        <f>IFERROR(IF(OR(ISTEXT('Capacity (MW)'!D77),'Capacity (MW)'!D77=0,ISTEXT('Generation (TWh)'!E77)),"n/a",'Generation (TWh)'!E77*1000000/('Capacity (MW)'!D77*$C77)),"n/a")</f>
        <v/>
      </c>
      <c r="F77" s="37">
        <f>IFERROR(IF(OR(ISTEXT('Capacity (MW)'!E77),'Capacity (MW)'!E77=0,ISTEXT('Generation (TWh)'!F77)),"n/a",'Generation (TWh)'!F77*1000000/('Capacity (MW)'!E77*$C77)),"n/a")</f>
        <v/>
      </c>
      <c r="G77" s="37">
        <f>IFERROR(IF(OR(ISTEXT('Capacity (MW)'!F77),'Capacity (MW)'!F77=0,ISTEXT('Generation (TWh)'!G77)),"n/a",'Generation (TWh)'!G77*1000000/('Capacity (MW)'!F77*$C77)),"n/a")</f>
        <v/>
      </c>
      <c r="H77" s="37">
        <f>IFERROR(IF(OR(ISTEXT('Capacity (MW)'!G77),'Capacity (MW)'!G77=0,ISTEXT('Generation (TWh)'!H77)),"n/a",'Generation (TWh)'!H77*1000000/('Capacity (MW)'!G77*$C77)),"n/a")</f>
        <v/>
      </c>
      <c r="I77" s="37">
        <f>IFERROR(IF(OR(ISTEXT('Capacity (MW)'!H77),'Capacity (MW)'!H77=0,ISTEXT('Generation (TWh)'!I77)),"n/a",'Generation (TWh)'!I77*1000000/('Capacity (MW)'!H77*$C77)),"n/a")</f>
        <v/>
      </c>
      <c r="J77" s="37">
        <f>IFERROR(IF(OR(ISTEXT('Capacity (MW)'!I77),'Capacity (MW)'!I77=0,ISTEXT('Generation (TWh)'!J77)),"n/a",'Generation (TWh)'!J77*1000000/('Capacity (MW)'!I77*$C77)),"n/a")</f>
        <v/>
      </c>
      <c r="K77" s="37">
        <f>IFERROR(IF(OR(ISTEXT('Capacity (MW)'!J77),'Capacity (MW)'!J77=0,ISTEXT('Generation (TWh)'!K77)),"n/a",'Generation (TWh)'!K77*1000000/('Capacity (MW)'!J77*$C77)),"n/a")</f>
        <v/>
      </c>
      <c r="L77" s="37">
        <f>IFERROR(IF(OR(ISTEXT('Capacity (MW)'!K77),'Capacity (MW)'!K77=0,ISTEXT('Generation (TWh)'!L77)),"n/a",'Generation (TWh)'!L77*1000000/('Capacity (MW)'!K77*$C77)),"n/a")</f>
        <v/>
      </c>
      <c r="M77" s="37">
        <f>IFERROR(IF(OR(ISTEXT('Capacity (MW)'!L77),'Capacity (MW)'!L77=0,ISTEXT('Generation (TWh)'!M77)),"n/a",'Generation (TWh)'!M77*1000000/('Capacity (MW)'!L77*$C77)),"n/a")</f>
        <v/>
      </c>
      <c r="N77" s="37">
        <f>IFERROR(IF(OR(ISTEXT('Capacity (MW)'!M77),'Capacity (MW)'!M77=0,ISTEXT('Generation (TWh)'!N77)),"n/a",'Generation (TWh)'!N77*1000000/('Capacity (MW)'!M77*$C77)),"n/a")</f>
        <v/>
      </c>
      <c r="O77" s="37">
        <f>IFERROR(IF(OR(ISTEXT('Capacity (MW)'!N77),'Capacity (MW)'!N77=0,ISTEXT('Generation (TWh)'!O77)),"n/a",'Generation (TWh)'!O77*1000000/('Capacity (MW)'!N77*$C77)),"n/a")</f>
        <v/>
      </c>
      <c r="P77" s="37">
        <f>IFERROR(IF(OR(ISTEXT('Capacity (MW)'!O77),'Capacity (MW)'!O77=0,ISTEXT('Generation (TWh)'!P77)),"n/a",'Generation (TWh)'!P77*1000000/('Capacity (MW)'!O77*$C77)),"n/a")</f>
        <v/>
      </c>
    </row>
    <row r="78" ht="15" customHeight="1" s="22">
      <c r="A78" s="31" t="n">
        <v>2018</v>
      </c>
      <c r="B78" s="31" t="n">
        <v>2</v>
      </c>
      <c r="C78" s="31" t="n">
        <v>2184</v>
      </c>
      <c r="D78" s="37">
        <f>IFERROR(IF(OR(ISTEXT('Capacity (MW)'!C78),'Capacity (MW)'!C78=0,ISTEXT('Generation (TWh)'!D78)),"n/a",'Generation (TWh)'!D78*1000000/('Capacity (MW)'!C78*$C78)),"n/a")</f>
        <v/>
      </c>
      <c r="E78" s="37">
        <f>IFERROR(IF(OR(ISTEXT('Capacity (MW)'!D78),'Capacity (MW)'!D78=0,ISTEXT('Generation (TWh)'!E78)),"n/a",'Generation (TWh)'!E78*1000000/('Capacity (MW)'!D78*$C78)),"n/a")</f>
        <v/>
      </c>
      <c r="F78" s="37">
        <f>IFERROR(IF(OR(ISTEXT('Capacity (MW)'!E78),'Capacity (MW)'!E78=0,ISTEXT('Generation (TWh)'!F78)),"n/a",'Generation (TWh)'!F78*1000000/('Capacity (MW)'!E78*$C78)),"n/a")</f>
        <v/>
      </c>
      <c r="G78" s="37">
        <f>IFERROR(IF(OR(ISTEXT('Capacity (MW)'!F78),'Capacity (MW)'!F78=0,ISTEXT('Generation (TWh)'!G78)),"n/a",'Generation (TWh)'!G78*1000000/('Capacity (MW)'!F78*$C78)),"n/a")</f>
        <v/>
      </c>
      <c r="H78" s="37">
        <f>IFERROR(IF(OR(ISTEXT('Capacity (MW)'!G78),'Capacity (MW)'!G78=0,ISTEXT('Generation (TWh)'!H78)),"n/a",'Generation (TWh)'!H78*1000000/('Capacity (MW)'!G78*$C78)),"n/a")</f>
        <v/>
      </c>
      <c r="I78" s="37">
        <f>IFERROR(IF(OR(ISTEXT('Capacity (MW)'!H78),'Capacity (MW)'!H78=0,ISTEXT('Generation (TWh)'!I78)),"n/a",'Generation (TWh)'!I78*1000000/('Capacity (MW)'!H78*$C78)),"n/a")</f>
        <v/>
      </c>
      <c r="J78" s="37">
        <f>IFERROR(IF(OR(ISTEXT('Capacity (MW)'!I78),'Capacity (MW)'!I78=0,ISTEXT('Generation (TWh)'!J78)),"n/a",'Generation (TWh)'!J78*1000000/('Capacity (MW)'!I78*$C78)),"n/a")</f>
        <v/>
      </c>
      <c r="K78" s="37">
        <f>IFERROR(IF(OR(ISTEXT('Capacity (MW)'!J78),'Capacity (MW)'!J78=0,ISTEXT('Generation (TWh)'!K78)),"n/a",'Generation (TWh)'!K78*1000000/('Capacity (MW)'!J78*$C78)),"n/a")</f>
        <v/>
      </c>
      <c r="L78" s="37">
        <f>IFERROR(IF(OR(ISTEXT('Capacity (MW)'!K78),'Capacity (MW)'!K78=0,ISTEXT('Generation (TWh)'!L78)),"n/a",'Generation (TWh)'!L78*1000000/('Capacity (MW)'!K78*$C78)),"n/a")</f>
        <v/>
      </c>
      <c r="M78" s="37">
        <f>IFERROR(IF(OR(ISTEXT('Capacity (MW)'!L78),'Capacity (MW)'!L78=0,ISTEXT('Generation (TWh)'!M78)),"n/a",'Generation (TWh)'!M78*1000000/('Capacity (MW)'!L78*$C78)),"n/a")</f>
        <v/>
      </c>
      <c r="N78" s="37">
        <f>IFERROR(IF(OR(ISTEXT('Capacity (MW)'!M78),'Capacity (MW)'!M78=0,ISTEXT('Generation (TWh)'!N78)),"n/a",'Generation (TWh)'!N78*1000000/('Capacity (MW)'!M78*$C78)),"n/a")</f>
        <v/>
      </c>
      <c r="O78" s="37">
        <f>IFERROR(IF(OR(ISTEXT('Capacity (MW)'!N78),'Capacity (MW)'!N78=0,ISTEXT('Generation (TWh)'!O78)),"n/a",'Generation (TWh)'!O78*1000000/('Capacity (MW)'!N78*$C78)),"n/a")</f>
        <v/>
      </c>
      <c r="P78" s="37">
        <f>IFERROR(IF(OR(ISTEXT('Capacity (MW)'!O78),'Capacity (MW)'!O78=0,ISTEXT('Generation (TWh)'!P78)),"n/a",'Generation (TWh)'!P78*1000000/('Capacity (MW)'!O78*$C78)),"n/a")</f>
        <v/>
      </c>
    </row>
    <row r="79" ht="15" customHeight="1" s="22">
      <c r="A79" s="31" t="n">
        <v>2018</v>
      </c>
      <c r="B79" s="31" t="n">
        <v>3</v>
      </c>
      <c r="C79" s="31" t="n">
        <v>2208</v>
      </c>
      <c r="D79" s="37">
        <f>IFERROR(IF(OR(ISTEXT('Capacity (MW)'!C79),'Capacity (MW)'!C79=0,ISTEXT('Generation (TWh)'!D79)),"n/a",'Generation (TWh)'!D79*1000000/('Capacity (MW)'!C79*$C79)),"n/a")</f>
        <v/>
      </c>
      <c r="E79" s="37">
        <f>IFERROR(IF(OR(ISTEXT('Capacity (MW)'!D79),'Capacity (MW)'!D79=0,ISTEXT('Generation (TWh)'!E79)),"n/a",'Generation (TWh)'!E79*1000000/('Capacity (MW)'!D79*$C79)),"n/a")</f>
        <v/>
      </c>
      <c r="F79" s="37">
        <f>IFERROR(IF(OR(ISTEXT('Capacity (MW)'!E79),'Capacity (MW)'!E79=0,ISTEXT('Generation (TWh)'!F79)),"n/a",'Generation (TWh)'!F79*1000000/('Capacity (MW)'!E79*$C79)),"n/a")</f>
        <v/>
      </c>
      <c r="G79" s="37">
        <f>IFERROR(IF(OR(ISTEXT('Capacity (MW)'!F79),'Capacity (MW)'!F79=0,ISTEXT('Generation (TWh)'!G79)),"n/a",'Generation (TWh)'!G79*1000000/('Capacity (MW)'!F79*$C79)),"n/a")</f>
        <v/>
      </c>
      <c r="H79" s="37">
        <f>IFERROR(IF(OR(ISTEXT('Capacity (MW)'!G79),'Capacity (MW)'!G79=0,ISTEXT('Generation (TWh)'!H79)),"n/a",'Generation (TWh)'!H79*1000000/('Capacity (MW)'!G79*$C79)),"n/a")</f>
        <v/>
      </c>
      <c r="I79" s="37">
        <f>IFERROR(IF(OR(ISTEXT('Capacity (MW)'!H79),'Capacity (MW)'!H79=0,ISTEXT('Generation (TWh)'!I79)),"n/a",'Generation (TWh)'!I79*1000000/('Capacity (MW)'!H79*$C79)),"n/a")</f>
        <v/>
      </c>
      <c r="J79" s="37">
        <f>IFERROR(IF(OR(ISTEXT('Capacity (MW)'!I79),'Capacity (MW)'!I79=0,ISTEXT('Generation (TWh)'!J79)),"n/a",'Generation (TWh)'!J79*1000000/('Capacity (MW)'!I79*$C79)),"n/a")</f>
        <v/>
      </c>
      <c r="K79" s="37">
        <f>IFERROR(IF(OR(ISTEXT('Capacity (MW)'!J79),'Capacity (MW)'!J79=0,ISTEXT('Generation (TWh)'!K79)),"n/a",'Generation (TWh)'!K79*1000000/('Capacity (MW)'!J79*$C79)),"n/a")</f>
        <v/>
      </c>
      <c r="L79" s="37">
        <f>IFERROR(IF(OR(ISTEXT('Capacity (MW)'!K79),'Capacity (MW)'!K79=0,ISTEXT('Generation (TWh)'!L79)),"n/a",'Generation (TWh)'!L79*1000000/('Capacity (MW)'!K79*$C79)),"n/a")</f>
        <v/>
      </c>
      <c r="M79" s="37">
        <f>IFERROR(IF(OR(ISTEXT('Capacity (MW)'!L79),'Capacity (MW)'!L79=0,ISTEXT('Generation (TWh)'!M79)),"n/a",'Generation (TWh)'!M79*1000000/('Capacity (MW)'!L79*$C79)),"n/a")</f>
        <v/>
      </c>
      <c r="N79" s="37">
        <f>IFERROR(IF(OR(ISTEXT('Capacity (MW)'!M79),'Capacity (MW)'!M79=0,ISTEXT('Generation (TWh)'!N79)),"n/a",'Generation (TWh)'!N79*1000000/('Capacity (MW)'!M79*$C79)),"n/a")</f>
        <v/>
      </c>
      <c r="O79" s="37">
        <f>IFERROR(IF(OR(ISTEXT('Capacity (MW)'!N79),'Capacity (MW)'!N79=0,ISTEXT('Generation (TWh)'!O79)),"n/a",'Generation (TWh)'!O79*1000000/('Capacity (MW)'!N79*$C79)),"n/a")</f>
        <v/>
      </c>
      <c r="P79" s="37">
        <f>IFERROR(IF(OR(ISTEXT('Capacity (MW)'!O79),'Capacity (MW)'!O79=0,ISTEXT('Generation (TWh)'!P79)),"n/a",'Generation (TWh)'!P79*1000000/('Capacity (MW)'!O79*$C79)),"n/a")</f>
        <v/>
      </c>
    </row>
    <row r="80" ht="15" customHeight="1" s="22">
      <c r="A80" s="31" t="n">
        <v>2018</v>
      </c>
      <c r="B80" s="31" t="n">
        <v>4</v>
      </c>
      <c r="C80" s="31" t="n">
        <v>2208</v>
      </c>
      <c r="D80" s="37">
        <f>IFERROR(IF(OR(ISTEXT('Capacity (MW)'!C80),'Capacity (MW)'!C80=0,ISTEXT('Generation (TWh)'!D80)),"n/a",'Generation (TWh)'!D80*1000000/('Capacity (MW)'!C80*$C80)),"n/a")</f>
        <v/>
      </c>
      <c r="E80" s="37">
        <f>IFERROR(IF(OR(ISTEXT('Capacity (MW)'!D80),'Capacity (MW)'!D80=0,ISTEXT('Generation (TWh)'!E80)),"n/a",'Generation (TWh)'!E80*1000000/('Capacity (MW)'!D80*$C80)),"n/a")</f>
        <v/>
      </c>
      <c r="F80" s="37">
        <f>IFERROR(IF(OR(ISTEXT('Capacity (MW)'!E80),'Capacity (MW)'!E80=0,ISTEXT('Generation (TWh)'!F80)),"n/a",'Generation (TWh)'!F80*1000000/('Capacity (MW)'!E80*$C80)),"n/a")</f>
        <v/>
      </c>
      <c r="G80" s="37">
        <f>IFERROR(IF(OR(ISTEXT('Capacity (MW)'!F80),'Capacity (MW)'!F80=0,ISTEXT('Generation (TWh)'!G80)),"n/a",'Generation (TWh)'!G80*1000000/('Capacity (MW)'!F80*$C80)),"n/a")</f>
        <v/>
      </c>
      <c r="H80" s="37">
        <f>IFERROR(IF(OR(ISTEXT('Capacity (MW)'!G80),'Capacity (MW)'!G80=0,ISTEXT('Generation (TWh)'!H80)),"n/a",'Generation (TWh)'!H80*1000000/('Capacity (MW)'!G80*$C80)),"n/a")</f>
        <v/>
      </c>
      <c r="I80" s="37">
        <f>IFERROR(IF(OR(ISTEXT('Capacity (MW)'!H80),'Capacity (MW)'!H80=0,ISTEXT('Generation (TWh)'!I80)),"n/a",'Generation (TWh)'!I80*1000000/('Capacity (MW)'!H80*$C80)),"n/a")</f>
        <v/>
      </c>
      <c r="J80" s="37">
        <f>IFERROR(IF(OR(ISTEXT('Capacity (MW)'!I80),'Capacity (MW)'!I80=0,ISTEXT('Generation (TWh)'!J80)),"n/a",'Generation (TWh)'!J80*1000000/('Capacity (MW)'!I80*$C80)),"n/a")</f>
        <v/>
      </c>
      <c r="K80" s="37">
        <f>IFERROR(IF(OR(ISTEXT('Capacity (MW)'!J80),'Capacity (MW)'!J80=0,ISTEXT('Generation (TWh)'!K80)),"n/a",'Generation (TWh)'!K80*1000000/('Capacity (MW)'!J80*$C80)),"n/a")</f>
        <v/>
      </c>
      <c r="L80" s="37">
        <f>IFERROR(IF(OR(ISTEXT('Capacity (MW)'!K80),'Capacity (MW)'!K80=0,ISTEXT('Generation (TWh)'!L80)),"n/a",'Generation (TWh)'!L80*1000000/('Capacity (MW)'!K80*$C80)),"n/a")</f>
        <v/>
      </c>
      <c r="M80" s="37">
        <f>IFERROR(IF(OR(ISTEXT('Capacity (MW)'!L80),'Capacity (MW)'!L80=0,ISTEXT('Generation (TWh)'!M80)),"n/a",'Generation (TWh)'!M80*1000000/('Capacity (MW)'!L80*$C80)),"n/a")</f>
        <v/>
      </c>
      <c r="N80" s="37">
        <f>IFERROR(IF(OR(ISTEXT('Capacity (MW)'!M80),'Capacity (MW)'!M80=0,ISTEXT('Generation (TWh)'!N80)),"n/a",'Generation (TWh)'!N80*1000000/('Capacity (MW)'!M80*$C80)),"n/a")</f>
        <v/>
      </c>
      <c r="O80" s="37">
        <f>IFERROR(IF(OR(ISTEXT('Capacity (MW)'!N80),'Capacity (MW)'!N80=0,ISTEXT('Generation (TWh)'!O80)),"n/a",'Generation (TWh)'!O80*1000000/('Capacity (MW)'!N80*$C80)),"n/a")</f>
        <v/>
      </c>
      <c r="P80" s="37">
        <f>IFERROR(IF(OR(ISTEXT('Capacity (MW)'!O80),'Capacity (MW)'!O80=0,ISTEXT('Generation (TWh)'!P80)),"n/a",'Generation (TWh)'!P80*1000000/('Capacity (MW)'!O80*$C80)),"n/a")</f>
        <v/>
      </c>
    </row>
    <row r="81" ht="15" customHeight="1" s="22">
      <c r="A81" s="31" t="n">
        <v>2019</v>
      </c>
      <c r="B81" s="31" t="n">
        <v>1</v>
      </c>
      <c r="C81" s="31" t="n">
        <v>2160</v>
      </c>
      <c r="D81" s="37">
        <f>IFERROR(IF(OR(ISTEXT('Capacity (MW)'!C81),'Capacity (MW)'!C81=0,ISTEXT('Generation (TWh)'!D81)),"n/a",'Generation (TWh)'!D81*1000000/('Capacity (MW)'!C81*$C81)),"n/a")</f>
        <v/>
      </c>
      <c r="E81" s="37">
        <f>IFERROR(IF(OR(ISTEXT('Capacity (MW)'!D81),'Capacity (MW)'!D81=0,ISTEXT('Generation (TWh)'!E81)),"n/a",'Generation (TWh)'!E81*1000000/('Capacity (MW)'!D81*$C81)),"n/a")</f>
        <v/>
      </c>
      <c r="F81" s="37">
        <f>IFERROR(IF(OR(ISTEXT('Capacity (MW)'!E81),'Capacity (MW)'!E81=0,ISTEXT('Generation (TWh)'!F81)),"n/a",'Generation (TWh)'!F81*1000000/('Capacity (MW)'!E81*$C81)),"n/a")</f>
        <v/>
      </c>
      <c r="G81" s="37">
        <f>IFERROR(IF(OR(ISTEXT('Capacity (MW)'!F81),'Capacity (MW)'!F81=0,ISTEXT('Generation (TWh)'!G81)),"n/a",'Generation (TWh)'!G81*1000000/('Capacity (MW)'!F81*$C81)),"n/a")</f>
        <v/>
      </c>
      <c r="H81" s="37">
        <f>IFERROR(IF(OR(ISTEXT('Capacity (MW)'!G81),'Capacity (MW)'!G81=0,ISTEXT('Generation (TWh)'!H81)),"n/a",'Generation (TWh)'!H81*1000000/('Capacity (MW)'!G81*$C81)),"n/a")</f>
        <v/>
      </c>
      <c r="I81" s="37">
        <f>IFERROR(IF(OR(ISTEXT('Capacity (MW)'!H81),'Capacity (MW)'!H81=0,ISTEXT('Generation (TWh)'!I81)),"n/a",'Generation (TWh)'!I81*1000000/('Capacity (MW)'!H81*$C81)),"n/a")</f>
        <v/>
      </c>
      <c r="J81" s="37">
        <f>IFERROR(IF(OR(ISTEXT('Capacity (MW)'!I81),'Capacity (MW)'!I81=0,ISTEXT('Generation (TWh)'!J81)),"n/a",'Generation (TWh)'!J81*1000000/('Capacity (MW)'!I81*$C81)),"n/a")</f>
        <v/>
      </c>
      <c r="K81" s="37">
        <f>IFERROR(IF(OR(ISTEXT('Capacity (MW)'!J81),'Capacity (MW)'!J81=0,ISTEXT('Generation (TWh)'!K81)),"n/a",'Generation (TWh)'!K81*1000000/('Capacity (MW)'!J81*$C81)),"n/a")</f>
        <v/>
      </c>
      <c r="L81" s="37">
        <f>IFERROR(IF(OR(ISTEXT('Capacity (MW)'!K81),'Capacity (MW)'!K81=0,ISTEXT('Generation (TWh)'!L81)),"n/a",'Generation (TWh)'!L81*1000000/('Capacity (MW)'!K81*$C81)),"n/a")</f>
        <v/>
      </c>
      <c r="M81" s="37">
        <f>IFERROR(IF(OR(ISTEXT('Capacity (MW)'!L81),'Capacity (MW)'!L81=0,ISTEXT('Generation (TWh)'!M81)),"n/a",'Generation (TWh)'!M81*1000000/('Capacity (MW)'!L81*$C81)),"n/a")</f>
        <v/>
      </c>
      <c r="N81" s="37">
        <f>IFERROR(IF(OR(ISTEXT('Capacity (MW)'!M81),'Capacity (MW)'!M81=0,ISTEXT('Generation (TWh)'!N81)),"n/a",'Generation (TWh)'!N81*1000000/('Capacity (MW)'!M81*$C81)),"n/a")</f>
        <v/>
      </c>
      <c r="O81" s="37">
        <f>IFERROR(IF(OR(ISTEXT('Capacity (MW)'!N81),'Capacity (MW)'!N81=0,ISTEXT('Generation (TWh)'!O81)),"n/a",'Generation (TWh)'!O81*1000000/('Capacity (MW)'!N81*$C81)),"n/a")</f>
        <v/>
      </c>
      <c r="P81" s="37">
        <f>IFERROR(IF(OR(ISTEXT('Capacity (MW)'!O81),'Capacity (MW)'!O81=0,ISTEXT('Generation (TWh)'!P81)),"n/a",'Generation (TWh)'!P81*1000000/('Capacity (MW)'!O81*$C81)),"n/a")</f>
        <v/>
      </c>
    </row>
    <row r="82" ht="15" customHeight="1" s="22">
      <c r="A82" s="31" t="n">
        <v>2019</v>
      </c>
      <c r="B82" s="31" t="n">
        <v>2</v>
      </c>
      <c r="C82" s="31" t="n">
        <v>2184</v>
      </c>
      <c r="D82" s="37">
        <f>IFERROR(IF(OR(ISTEXT('Capacity (MW)'!C82),'Capacity (MW)'!C82=0,ISTEXT('Generation (TWh)'!D82)),"n/a",'Generation (TWh)'!D82*1000000/('Capacity (MW)'!C82*$C82)),"n/a")</f>
        <v/>
      </c>
      <c r="E82" s="37">
        <f>IFERROR(IF(OR(ISTEXT('Capacity (MW)'!D82),'Capacity (MW)'!D82=0,ISTEXT('Generation (TWh)'!E82)),"n/a",'Generation (TWh)'!E82*1000000/('Capacity (MW)'!D82*$C82)),"n/a")</f>
        <v/>
      </c>
      <c r="F82" s="37">
        <f>IFERROR(IF(OR(ISTEXT('Capacity (MW)'!E82),'Capacity (MW)'!E82=0,ISTEXT('Generation (TWh)'!F82)),"n/a",'Generation (TWh)'!F82*1000000/('Capacity (MW)'!E82*$C82)),"n/a")</f>
        <v/>
      </c>
      <c r="G82" s="37">
        <f>IFERROR(IF(OR(ISTEXT('Capacity (MW)'!F82),'Capacity (MW)'!F82=0,ISTEXT('Generation (TWh)'!G82)),"n/a",'Generation (TWh)'!G82*1000000/('Capacity (MW)'!F82*$C82)),"n/a")</f>
        <v/>
      </c>
      <c r="H82" s="37">
        <f>IFERROR(IF(OR(ISTEXT('Capacity (MW)'!G82),'Capacity (MW)'!G82=0,ISTEXT('Generation (TWh)'!H82)),"n/a",'Generation (TWh)'!H82*1000000/('Capacity (MW)'!G82*$C82)),"n/a")</f>
        <v/>
      </c>
      <c r="I82" s="37">
        <f>IFERROR(IF(OR(ISTEXT('Capacity (MW)'!H82),'Capacity (MW)'!H82=0,ISTEXT('Generation (TWh)'!I82)),"n/a",'Generation (TWh)'!I82*1000000/('Capacity (MW)'!H82*$C82)),"n/a")</f>
        <v/>
      </c>
      <c r="J82" s="37">
        <f>IFERROR(IF(OR(ISTEXT('Capacity (MW)'!I82),'Capacity (MW)'!I82=0,ISTEXT('Generation (TWh)'!J82)),"n/a",'Generation (TWh)'!J82*1000000/('Capacity (MW)'!I82*$C82)),"n/a")</f>
        <v/>
      </c>
      <c r="K82" s="37">
        <f>IFERROR(IF(OR(ISTEXT('Capacity (MW)'!J82),'Capacity (MW)'!J82=0,ISTEXT('Generation (TWh)'!K82)),"n/a",'Generation (TWh)'!K82*1000000/('Capacity (MW)'!J82*$C82)),"n/a")</f>
        <v/>
      </c>
      <c r="L82" s="37">
        <f>IFERROR(IF(OR(ISTEXT('Capacity (MW)'!K82),'Capacity (MW)'!K82=0,ISTEXT('Generation (TWh)'!L82)),"n/a",'Generation (TWh)'!L82*1000000/('Capacity (MW)'!K82*$C82)),"n/a")</f>
        <v/>
      </c>
      <c r="M82" s="37">
        <f>IFERROR(IF(OR(ISTEXT('Capacity (MW)'!L82),'Capacity (MW)'!L82=0,ISTEXT('Generation (TWh)'!M82)),"n/a",'Generation (TWh)'!M82*1000000/('Capacity (MW)'!L82*$C82)),"n/a")</f>
        <v/>
      </c>
      <c r="N82" s="37">
        <f>IFERROR(IF(OR(ISTEXT('Capacity (MW)'!M82),'Capacity (MW)'!M82=0,ISTEXT('Generation (TWh)'!N82)),"n/a",'Generation (TWh)'!N82*1000000/('Capacity (MW)'!M82*$C82)),"n/a")</f>
        <v/>
      </c>
      <c r="O82" s="37">
        <f>IFERROR(IF(OR(ISTEXT('Capacity (MW)'!N82),'Capacity (MW)'!N82=0,ISTEXT('Generation (TWh)'!O82)),"n/a",'Generation (TWh)'!O82*1000000/('Capacity (MW)'!N82*$C82)),"n/a")</f>
        <v/>
      </c>
      <c r="P82" s="37">
        <f>IFERROR(IF(OR(ISTEXT('Capacity (MW)'!O82),'Capacity (MW)'!O82=0,ISTEXT('Generation (TWh)'!P82)),"n/a",'Generation (TWh)'!P82*1000000/('Capacity (MW)'!O82*$C82)),"n/a")</f>
        <v/>
      </c>
    </row>
    <row r="83" ht="15" customHeight="1" s="22">
      <c r="A83" s="31" t="n">
        <v>2019</v>
      </c>
      <c r="B83" s="31" t="n">
        <v>3</v>
      </c>
      <c r="C83" s="31" t="n">
        <v>2208</v>
      </c>
      <c r="D83" s="37">
        <f>IFERROR(IF(OR(ISTEXT('Capacity (MW)'!C83),'Capacity (MW)'!C83=0,ISTEXT('Generation (TWh)'!D83)),"n/a",'Generation (TWh)'!D83*1000000/('Capacity (MW)'!C83*$C83)),"n/a")</f>
        <v/>
      </c>
      <c r="E83" s="37">
        <f>IFERROR(IF(OR(ISTEXT('Capacity (MW)'!D83),'Capacity (MW)'!D83=0,ISTEXT('Generation (TWh)'!E83)),"n/a",'Generation (TWh)'!E83*1000000/('Capacity (MW)'!D83*$C83)),"n/a")</f>
        <v/>
      </c>
      <c r="F83" s="37">
        <f>IFERROR(IF(OR(ISTEXT('Capacity (MW)'!E83),'Capacity (MW)'!E83=0,ISTEXT('Generation (TWh)'!F83)),"n/a",'Generation (TWh)'!F83*1000000/('Capacity (MW)'!E83*$C83)),"n/a")</f>
        <v/>
      </c>
      <c r="G83" s="37">
        <f>IFERROR(IF(OR(ISTEXT('Capacity (MW)'!F83),'Capacity (MW)'!F83=0,ISTEXT('Generation (TWh)'!G83)),"n/a",'Generation (TWh)'!G83*1000000/('Capacity (MW)'!F83*$C83)),"n/a")</f>
        <v/>
      </c>
      <c r="H83" s="37">
        <f>IFERROR(IF(OR(ISTEXT('Capacity (MW)'!G83),'Capacity (MW)'!G83=0,ISTEXT('Generation (TWh)'!H83)),"n/a",'Generation (TWh)'!H83*1000000/('Capacity (MW)'!G83*$C83)),"n/a")</f>
        <v/>
      </c>
      <c r="I83" s="37">
        <f>IFERROR(IF(OR(ISTEXT('Capacity (MW)'!H83),'Capacity (MW)'!H83=0,ISTEXT('Generation (TWh)'!I83)),"n/a",'Generation (TWh)'!I83*1000000/('Capacity (MW)'!H83*$C83)),"n/a")</f>
        <v/>
      </c>
      <c r="J83" s="37">
        <f>IFERROR(IF(OR(ISTEXT('Capacity (MW)'!I83),'Capacity (MW)'!I83=0,ISTEXT('Generation (TWh)'!J83)),"n/a",'Generation (TWh)'!J83*1000000/('Capacity (MW)'!I83*$C83)),"n/a")</f>
        <v/>
      </c>
      <c r="K83" s="37">
        <f>IFERROR(IF(OR(ISTEXT('Capacity (MW)'!J83),'Capacity (MW)'!J83=0,ISTEXT('Generation (TWh)'!K83)),"n/a",'Generation (TWh)'!K83*1000000/('Capacity (MW)'!J83*$C83)),"n/a")</f>
        <v/>
      </c>
      <c r="L83" s="37">
        <f>IFERROR(IF(OR(ISTEXT('Capacity (MW)'!K83),'Capacity (MW)'!K83=0,ISTEXT('Generation (TWh)'!L83)),"n/a",'Generation (TWh)'!L83*1000000/('Capacity (MW)'!K83*$C83)),"n/a")</f>
        <v/>
      </c>
      <c r="M83" s="37">
        <f>IFERROR(IF(OR(ISTEXT('Capacity (MW)'!L83),'Capacity (MW)'!L83=0,ISTEXT('Generation (TWh)'!M83)),"n/a",'Generation (TWh)'!M83*1000000/('Capacity (MW)'!L83*$C83)),"n/a")</f>
        <v/>
      </c>
      <c r="N83" s="37">
        <f>IFERROR(IF(OR(ISTEXT('Capacity (MW)'!M83),'Capacity (MW)'!M83=0,ISTEXT('Generation (TWh)'!N83)),"n/a",'Generation (TWh)'!N83*1000000/('Capacity (MW)'!M83*$C83)),"n/a")</f>
        <v/>
      </c>
      <c r="O83" s="37">
        <f>IFERROR(IF(OR(ISTEXT('Capacity (MW)'!N83),'Capacity (MW)'!N83=0,ISTEXT('Generation (TWh)'!O83)),"n/a",'Generation (TWh)'!O83*1000000/('Capacity (MW)'!N83*$C83)),"n/a")</f>
        <v/>
      </c>
      <c r="P83" s="37">
        <f>IFERROR(IF(OR(ISTEXT('Capacity (MW)'!O83),'Capacity (MW)'!O83=0,ISTEXT('Generation (TWh)'!P83)),"n/a",'Generation (TWh)'!P83*1000000/('Capacity (MW)'!O83*$C83)),"n/a")</f>
        <v/>
      </c>
    </row>
    <row r="84" ht="15" customHeight="1" s="22">
      <c r="A84" s="31" t="n">
        <v>2019</v>
      </c>
      <c r="B84" s="31" t="n">
        <v>4</v>
      </c>
      <c r="C84" s="31" t="n">
        <v>2208</v>
      </c>
      <c r="D84" s="37">
        <f>IFERROR(IF(OR(ISTEXT('Capacity (MW)'!C84),'Capacity (MW)'!C84=0,ISTEXT('Generation (TWh)'!D84)),"n/a",'Generation (TWh)'!D84*1000000/('Capacity (MW)'!C84*$C84)),"n/a")</f>
        <v/>
      </c>
      <c r="E84" s="37">
        <f>IFERROR(IF(OR(ISTEXT('Capacity (MW)'!D84),'Capacity (MW)'!D84=0,ISTEXT('Generation (TWh)'!E84)),"n/a",'Generation (TWh)'!E84*1000000/('Capacity (MW)'!D84*$C84)),"n/a")</f>
        <v/>
      </c>
      <c r="F84" s="37">
        <f>IFERROR(IF(OR(ISTEXT('Capacity (MW)'!E84),'Capacity (MW)'!E84=0,ISTEXT('Generation (TWh)'!F84)),"n/a",'Generation (TWh)'!F84*1000000/('Capacity (MW)'!E84*$C84)),"n/a")</f>
        <v/>
      </c>
      <c r="G84" s="37">
        <f>IFERROR(IF(OR(ISTEXT('Capacity (MW)'!F84),'Capacity (MW)'!F84=0,ISTEXT('Generation (TWh)'!G84)),"n/a",'Generation (TWh)'!G84*1000000/('Capacity (MW)'!F84*$C84)),"n/a")</f>
        <v/>
      </c>
      <c r="H84" s="37">
        <f>IFERROR(IF(OR(ISTEXT('Capacity (MW)'!G84),'Capacity (MW)'!G84=0,ISTEXT('Generation (TWh)'!H84)),"n/a",'Generation (TWh)'!H84*1000000/('Capacity (MW)'!G84*$C84)),"n/a")</f>
        <v/>
      </c>
      <c r="I84" s="37">
        <f>IFERROR(IF(OR(ISTEXT('Capacity (MW)'!H84),'Capacity (MW)'!H84=0,ISTEXT('Generation (TWh)'!I84)),"n/a",'Generation (TWh)'!I84*1000000/('Capacity (MW)'!H84*$C84)),"n/a")</f>
        <v/>
      </c>
      <c r="J84" s="37">
        <f>IFERROR(IF(OR(ISTEXT('Capacity (MW)'!I84),'Capacity (MW)'!I84=0,ISTEXT('Generation (TWh)'!J84)),"n/a",'Generation (TWh)'!J84*1000000/('Capacity (MW)'!I84*$C84)),"n/a")</f>
        <v/>
      </c>
      <c r="K84" s="37">
        <f>IFERROR(IF(OR(ISTEXT('Capacity (MW)'!J84),'Capacity (MW)'!J84=0,ISTEXT('Generation (TWh)'!K84)),"n/a",'Generation (TWh)'!K84*1000000/('Capacity (MW)'!J84*$C84)),"n/a")</f>
        <v/>
      </c>
      <c r="L84" s="37">
        <f>IFERROR(IF(OR(ISTEXT('Capacity (MW)'!K84),'Capacity (MW)'!K84=0,ISTEXT('Generation (TWh)'!L84)),"n/a",'Generation (TWh)'!L84*1000000/('Capacity (MW)'!K84*$C84)),"n/a")</f>
        <v/>
      </c>
      <c r="M84" s="37">
        <f>IFERROR(IF(OR(ISTEXT('Capacity (MW)'!L84),'Capacity (MW)'!L84=0,ISTEXT('Generation (TWh)'!M84)),"n/a",'Generation (TWh)'!M84*1000000/('Capacity (MW)'!L84*$C84)),"n/a")</f>
        <v/>
      </c>
      <c r="N84" s="37">
        <f>IFERROR(IF(OR(ISTEXT('Capacity (MW)'!M84),'Capacity (MW)'!M84=0,ISTEXT('Generation (TWh)'!N84)),"n/a",'Generation (TWh)'!N84*1000000/('Capacity (MW)'!M84*$C84)),"n/a")</f>
        <v/>
      </c>
      <c r="O84" s="37">
        <f>IFERROR(IF(OR(ISTEXT('Capacity (MW)'!N84),'Capacity (MW)'!N84=0,ISTEXT('Generation (TWh)'!O84)),"n/a",'Generation (TWh)'!O84*1000000/('Capacity (MW)'!N84*$C84)),"n/a")</f>
        <v/>
      </c>
      <c r="P84" s="37">
        <f>IFERROR(IF(OR(ISTEXT('Capacity (MW)'!O84),'Capacity (MW)'!O84=0,ISTEXT('Generation (TWh)'!P84)),"n/a",'Generation (TWh)'!P84*1000000/('Capacity (MW)'!O84*$C84)),"n/a")</f>
        <v/>
      </c>
    </row>
    <row r="85" ht="15" customHeight="1" s="22">
      <c r="A85" s="31" t="n">
        <v>2020</v>
      </c>
      <c r="B85" s="31" t="n">
        <v>1</v>
      </c>
      <c r="C85" s="31" t="n">
        <v>2184</v>
      </c>
      <c r="D85" s="37">
        <f>IFERROR(IF(OR(ISTEXT('Capacity (MW)'!C85),'Capacity (MW)'!C85=0,ISTEXT('Generation (TWh)'!D85)),"n/a",'Generation (TWh)'!D85*1000000/('Capacity (MW)'!C85*$C85)),"n/a")</f>
        <v/>
      </c>
      <c r="E85" s="37">
        <f>IFERROR(IF(OR(ISTEXT('Capacity (MW)'!D85),'Capacity (MW)'!D85=0,ISTEXT('Generation (TWh)'!E85)),"n/a",'Generation (TWh)'!E85*1000000/('Capacity (MW)'!D85*$C85)),"n/a")</f>
        <v/>
      </c>
      <c r="F85" s="37">
        <f>IFERROR(IF(OR(ISTEXT('Capacity (MW)'!E85),'Capacity (MW)'!E85=0,ISTEXT('Generation (TWh)'!F85)),"n/a",'Generation (TWh)'!F85*1000000/('Capacity (MW)'!E85*$C85)),"n/a")</f>
        <v/>
      </c>
      <c r="G85" s="37">
        <f>IFERROR(IF(OR(ISTEXT('Capacity (MW)'!F85),'Capacity (MW)'!F85=0,ISTEXT('Generation (TWh)'!G85)),"n/a",'Generation (TWh)'!G85*1000000/('Capacity (MW)'!F85*$C85)),"n/a")</f>
        <v/>
      </c>
      <c r="H85" s="37">
        <f>IFERROR(IF(OR(ISTEXT('Capacity (MW)'!G85),'Capacity (MW)'!G85=0,ISTEXT('Generation (TWh)'!H85)),"n/a",'Generation (TWh)'!H85*1000000/('Capacity (MW)'!G85*$C85)),"n/a")</f>
        <v/>
      </c>
      <c r="I85" s="37">
        <f>IFERROR(IF(OR(ISTEXT('Capacity (MW)'!H85),'Capacity (MW)'!H85=0,ISTEXT('Generation (TWh)'!I85)),"n/a",'Generation (TWh)'!I85*1000000/('Capacity (MW)'!H85*$C85)),"n/a")</f>
        <v/>
      </c>
      <c r="J85" s="37">
        <f>IFERROR(IF(OR(ISTEXT('Capacity (MW)'!I85),'Capacity (MW)'!I85=0,ISTEXT('Generation (TWh)'!J85)),"n/a",'Generation (TWh)'!J85*1000000/('Capacity (MW)'!I85*$C85)),"n/a")</f>
        <v/>
      </c>
      <c r="K85" s="37">
        <f>IFERROR(IF(OR(ISTEXT('Capacity (MW)'!J85),'Capacity (MW)'!J85=0,ISTEXT('Generation (TWh)'!K85)),"n/a",'Generation (TWh)'!K85*1000000/('Capacity (MW)'!J85*$C85)),"n/a")</f>
        <v/>
      </c>
      <c r="L85" s="37">
        <f>IFERROR(IF(OR(ISTEXT('Capacity (MW)'!K85),'Capacity (MW)'!K85=0,ISTEXT('Generation (TWh)'!L85)),"n/a",'Generation (TWh)'!L85*1000000/('Capacity (MW)'!K85*$C85)),"n/a")</f>
        <v/>
      </c>
      <c r="M85" s="37">
        <f>IFERROR(IF(OR(ISTEXT('Capacity (MW)'!L85),'Capacity (MW)'!L85=0,ISTEXT('Generation (TWh)'!M85)),"n/a",'Generation (TWh)'!M85*1000000/('Capacity (MW)'!L85*$C85)),"n/a")</f>
        <v/>
      </c>
      <c r="N85" s="37">
        <f>IFERROR(IF(OR(ISTEXT('Capacity (MW)'!M85),'Capacity (MW)'!M85=0,ISTEXT('Generation (TWh)'!N85)),"n/a",'Generation (TWh)'!N85*1000000/('Capacity (MW)'!M85*$C85)),"n/a")</f>
        <v/>
      </c>
      <c r="O85" s="37">
        <f>IFERROR(IF(OR(ISTEXT('Capacity (MW)'!N85),'Capacity (MW)'!N85=0,ISTEXT('Generation (TWh)'!O85)),"n/a",'Generation (TWh)'!O85*1000000/('Capacity (MW)'!N85*$C85)),"n/a")</f>
        <v/>
      </c>
      <c r="P85" s="37">
        <f>IFERROR(IF(OR(ISTEXT('Capacity (MW)'!O85),'Capacity (MW)'!O85=0,ISTEXT('Generation (TWh)'!P85)),"n/a",'Generation (TWh)'!P85*1000000/('Capacity (MW)'!O85*$C85)),"n/a")</f>
        <v/>
      </c>
    </row>
    <row r="86" ht="15" customHeight="1" s="22">
      <c r="A86" s="31" t="n">
        <v>2020</v>
      </c>
      <c r="B86" s="31" t="n">
        <v>2</v>
      </c>
      <c r="C86" s="31" t="n">
        <v>2184</v>
      </c>
      <c r="D86" s="37">
        <f>IFERROR(IF(OR(ISTEXT('Capacity (MW)'!C86),'Capacity (MW)'!C86=0,ISTEXT('Generation (TWh)'!D86)),"n/a",'Generation (TWh)'!D86*1000000/('Capacity (MW)'!C86*$C86)),"n/a")</f>
        <v/>
      </c>
      <c r="E86" s="37">
        <f>IFERROR(IF(OR(ISTEXT('Capacity (MW)'!D86),'Capacity (MW)'!D86=0,ISTEXT('Generation (TWh)'!E86)),"n/a",'Generation (TWh)'!E86*1000000/('Capacity (MW)'!D86*$C86)),"n/a")</f>
        <v/>
      </c>
      <c r="F86" s="37">
        <f>IFERROR(IF(OR(ISTEXT('Capacity (MW)'!E86),'Capacity (MW)'!E86=0,ISTEXT('Generation (TWh)'!F86)),"n/a",'Generation (TWh)'!F86*1000000/('Capacity (MW)'!E86*$C86)),"n/a")</f>
        <v/>
      </c>
      <c r="G86" s="37">
        <f>IFERROR(IF(OR(ISTEXT('Capacity (MW)'!F86),'Capacity (MW)'!F86=0,ISTEXT('Generation (TWh)'!G86)),"n/a",'Generation (TWh)'!G86*1000000/('Capacity (MW)'!F86*$C86)),"n/a")</f>
        <v/>
      </c>
      <c r="H86" s="37">
        <f>IFERROR(IF(OR(ISTEXT('Capacity (MW)'!G86),'Capacity (MW)'!G86=0,ISTEXT('Generation (TWh)'!H86)),"n/a",'Generation (TWh)'!H86*1000000/('Capacity (MW)'!G86*$C86)),"n/a")</f>
        <v/>
      </c>
      <c r="I86" s="37">
        <f>IFERROR(IF(OR(ISTEXT('Capacity (MW)'!H86),'Capacity (MW)'!H86=0,ISTEXT('Generation (TWh)'!I86)),"n/a",'Generation (TWh)'!I86*1000000/('Capacity (MW)'!H86*$C86)),"n/a")</f>
        <v/>
      </c>
      <c r="J86" s="37">
        <f>IFERROR(IF(OR(ISTEXT('Capacity (MW)'!I86),'Capacity (MW)'!I86=0,ISTEXT('Generation (TWh)'!J86)),"n/a",'Generation (TWh)'!J86*1000000/('Capacity (MW)'!I86*$C86)),"n/a")</f>
        <v/>
      </c>
      <c r="K86" s="37">
        <f>IFERROR(IF(OR(ISTEXT('Capacity (MW)'!J86),'Capacity (MW)'!J86=0,ISTEXT('Generation (TWh)'!K86)),"n/a",'Generation (TWh)'!K86*1000000/('Capacity (MW)'!J86*$C86)),"n/a")</f>
        <v/>
      </c>
      <c r="L86" s="37">
        <f>IFERROR(IF(OR(ISTEXT('Capacity (MW)'!K86),'Capacity (MW)'!K86=0,ISTEXT('Generation (TWh)'!L86)),"n/a",'Generation (TWh)'!L86*1000000/('Capacity (MW)'!K86*$C86)),"n/a")</f>
        <v/>
      </c>
      <c r="M86" s="37">
        <f>IFERROR(IF(OR(ISTEXT('Capacity (MW)'!L86),'Capacity (MW)'!L86=0,ISTEXT('Generation (TWh)'!M86)),"n/a",'Generation (TWh)'!M86*1000000/('Capacity (MW)'!L86*$C86)),"n/a")</f>
        <v/>
      </c>
      <c r="N86" s="37">
        <f>IFERROR(IF(OR(ISTEXT('Capacity (MW)'!M86),'Capacity (MW)'!M86=0,ISTEXT('Generation (TWh)'!N86)),"n/a",'Generation (TWh)'!N86*1000000/('Capacity (MW)'!M86*$C86)),"n/a")</f>
        <v/>
      </c>
      <c r="O86" s="37">
        <f>IFERROR(IF(OR(ISTEXT('Capacity (MW)'!N86),'Capacity (MW)'!N86=0,ISTEXT('Generation (TWh)'!O86)),"n/a",'Generation (TWh)'!O86*1000000/('Capacity (MW)'!N86*$C86)),"n/a")</f>
        <v/>
      </c>
      <c r="P86" s="37">
        <f>IFERROR(IF(OR(ISTEXT('Capacity (MW)'!O86),'Capacity (MW)'!O86=0,ISTEXT('Generation (TWh)'!P86)),"n/a",'Generation (TWh)'!P86*1000000/('Capacity (MW)'!O86*$C86)),"n/a")</f>
        <v/>
      </c>
    </row>
    <row r="87" ht="15" customHeight="1" s="22">
      <c r="A87" s="31" t="n">
        <v>2020</v>
      </c>
      <c r="B87" s="31" t="n">
        <v>3</v>
      </c>
      <c r="C87" s="31" t="n">
        <v>2208</v>
      </c>
      <c r="D87" s="37">
        <f>IFERROR(IF(OR(ISTEXT('Capacity (MW)'!C87),'Capacity (MW)'!C87=0,ISTEXT('Generation (TWh)'!D87)),"n/a",'Generation (TWh)'!D87*1000000/('Capacity (MW)'!C87*$C87)),"n/a")</f>
        <v/>
      </c>
      <c r="E87" s="37">
        <f>IFERROR(IF(OR(ISTEXT('Capacity (MW)'!D87),'Capacity (MW)'!D87=0,ISTEXT('Generation (TWh)'!E87)),"n/a",'Generation (TWh)'!E87*1000000/('Capacity (MW)'!D87*$C87)),"n/a")</f>
        <v/>
      </c>
      <c r="F87" s="37">
        <f>IFERROR(IF(OR(ISTEXT('Capacity (MW)'!E87),'Capacity (MW)'!E87=0,ISTEXT('Generation (TWh)'!F87)),"n/a",'Generation (TWh)'!F87*1000000/('Capacity (MW)'!E87*$C87)),"n/a")</f>
        <v/>
      </c>
      <c r="G87" s="37">
        <f>IFERROR(IF(OR(ISTEXT('Capacity (MW)'!F87),'Capacity (MW)'!F87=0,ISTEXT('Generation (TWh)'!G87)),"n/a",'Generation (TWh)'!G87*1000000/('Capacity (MW)'!F87*$C87)),"n/a")</f>
        <v/>
      </c>
      <c r="H87" s="37">
        <f>IFERROR(IF(OR(ISTEXT('Capacity (MW)'!G87),'Capacity (MW)'!G87=0,ISTEXT('Generation (TWh)'!H87)),"n/a",'Generation (TWh)'!H87*1000000/('Capacity (MW)'!G87*$C87)),"n/a")</f>
        <v/>
      </c>
      <c r="I87" s="37">
        <f>IFERROR(IF(OR(ISTEXT('Capacity (MW)'!H87),'Capacity (MW)'!H87=0,ISTEXT('Generation (TWh)'!I87)),"n/a",'Generation (TWh)'!I87*1000000/('Capacity (MW)'!H87*$C87)),"n/a")</f>
        <v/>
      </c>
      <c r="J87" s="37">
        <f>IFERROR(IF(OR(ISTEXT('Capacity (MW)'!I87),'Capacity (MW)'!I87=0,ISTEXT('Generation (TWh)'!J87)),"n/a",'Generation (TWh)'!J87*1000000/('Capacity (MW)'!I87*$C87)),"n/a")</f>
        <v/>
      </c>
      <c r="K87" s="37">
        <f>IFERROR(IF(OR(ISTEXT('Capacity (MW)'!J87),'Capacity (MW)'!J87=0,ISTEXT('Generation (TWh)'!K87)),"n/a",'Generation (TWh)'!K87*1000000/('Capacity (MW)'!J87*$C87)),"n/a")</f>
        <v/>
      </c>
      <c r="L87" s="37">
        <f>IFERROR(IF(OR(ISTEXT('Capacity (MW)'!K87),'Capacity (MW)'!K87=0,ISTEXT('Generation (TWh)'!L87)),"n/a",'Generation (TWh)'!L87*1000000/('Capacity (MW)'!K87*$C87)),"n/a")</f>
        <v/>
      </c>
      <c r="M87" s="37">
        <f>IFERROR(IF(OR(ISTEXT('Capacity (MW)'!L87),'Capacity (MW)'!L87=0,ISTEXT('Generation (TWh)'!M87)),"n/a",'Generation (TWh)'!M87*1000000/('Capacity (MW)'!L87*$C87)),"n/a")</f>
        <v/>
      </c>
      <c r="N87" s="37">
        <f>IFERROR(IF(OR(ISTEXT('Capacity (MW)'!M87),'Capacity (MW)'!M87=0,ISTEXT('Generation (TWh)'!N87)),"n/a",'Generation (TWh)'!N87*1000000/('Capacity (MW)'!M87*$C87)),"n/a")</f>
        <v/>
      </c>
      <c r="O87" s="37">
        <f>IFERROR(IF(OR(ISTEXT('Capacity (MW)'!N87),'Capacity (MW)'!N87=0,ISTEXT('Generation (TWh)'!O87)),"n/a",'Generation (TWh)'!O87*1000000/('Capacity (MW)'!N87*$C87)),"n/a")</f>
        <v/>
      </c>
      <c r="P87" s="37">
        <f>IFERROR(IF(OR(ISTEXT('Capacity (MW)'!O87),'Capacity (MW)'!O87=0,ISTEXT('Generation (TWh)'!P87)),"n/a",'Generation (TWh)'!P87*1000000/('Capacity (MW)'!O87*$C87)),"n/a")</f>
        <v/>
      </c>
    </row>
    <row r="88" ht="15" customHeight="1" s="22">
      <c r="A88" s="31" t="n">
        <v>2020</v>
      </c>
      <c r="B88" s="31" t="n">
        <v>4</v>
      </c>
      <c r="C88" s="31" t="n">
        <v>2208</v>
      </c>
      <c r="D88" s="37">
        <f>IFERROR(IF(OR(ISTEXT('Capacity (MW)'!C88),'Capacity (MW)'!C88=0,ISTEXT('Generation (TWh)'!D88)),"n/a",'Generation (TWh)'!D88*1000000/('Capacity (MW)'!C88*$C88)),"n/a")</f>
        <v/>
      </c>
      <c r="E88" s="37">
        <f>IFERROR(IF(OR(ISTEXT('Capacity (MW)'!D88),'Capacity (MW)'!D88=0,ISTEXT('Generation (TWh)'!E88)),"n/a",'Generation (TWh)'!E88*1000000/('Capacity (MW)'!D88*$C88)),"n/a")</f>
        <v/>
      </c>
      <c r="F88" s="37">
        <f>IFERROR(IF(OR(ISTEXT('Capacity (MW)'!E88),'Capacity (MW)'!E88=0,ISTEXT('Generation (TWh)'!F88)),"n/a",'Generation (TWh)'!F88*1000000/('Capacity (MW)'!E88*$C88)),"n/a")</f>
        <v/>
      </c>
      <c r="G88" s="37">
        <f>IFERROR(IF(OR(ISTEXT('Capacity (MW)'!F88),'Capacity (MW)'!F88=0,ISTEXT('Generation (TWh)'!G88)),"n/a",'Generation (TWh)'!G88*1000000/('Capacity (MW)'!F88*$C88)),"n/a")</f>
        <v/>
      </c>
      <c r="H88" s="37">
        <f>IFERROR(IF(OR(ISTEXT('Capacity (MW)'!G88),'Capacity (MW)'!G88=0,ISTEXT('Generation (TWh)'!H88)),"n/a",'Generation (TWh)'!H88*1000000/('Capacity (MW)'!G88*$C88)),"n/a")</f>
        <v/>
      </c>
      <c r="I88" s="37">
        <f>IFERROR(IF(OR(ISTEXT('Capacity (MW)'!H88),'Capacity (MW)'!H88=0,ISTEXT('Generation (TWh)'!I88)),"n/a",'Generation (TWh)'!I88*1000000/('Capacity (MW)'!H88*$C88)),"n/a")</f>
        <v/>
      </c>
      <c r="J88" s="37">
        <f>IFERROR(IF(OR(ISTEXT('Capacity (MW)'!I88),'Capacity (MW)'!I88=0,ISTEXT('Generation (TWh)'!J88)),"n/a",'Generation (TWh)'!J88*1000000/('Capacity (MW)'!I88*$C88)),"n/a")</f>
        <v/>
      </c>
      <c r="K88" s="37">
        <f>IFERROR(IF(OR(ISTEXT('Capacity (MW)'!J88),'Capacity (MW)'!J88=0,ISTEXT('Generation (TWh)'!K88)),"n/a",'Generation (TWh)'!K88*1000000/('Capacity (MW)'!J88*$C88)),"n/a")</f>
        <v/>
      </c>
      <c r="L88" s="37">
        <f>IFERROR(IF(OR(ISTEXT('Capacity (MW)'!K88),'Capacity (MW)'!K88=0,ISTEXT('Generation (TWh)'!L88)),"n/a",'Generation (TWh)'!L88*1000000/('Capacity (MW)'!K88*$C88)),"n/a")</f>
        <v/>
      </c>
      <c r="M88" s="37">
        <f>IFERROR(IF(OR(ISTEXT('Capacity (MW)'!L88),'Capacity (MW)'!L88=0,ISTEXT('Generation (TWh)'!M88)),"n/a",'Generation (TWh)'!M88*1000000/('Capacity (MW)'!L88*$C88)),"n/a")</f>
        <v/>
      </c>
      <c r="N88" s="37">
        <f>IFERROR(IF(OR(ISTEXT('Capacity (MW)'!M88),'Capacity (MW)'!M88=0,ISTEXT('Generation (TWh)'!N88)),"n/a",'Generation (TWh)'!N88*1000000/('Capacity (MW)'!M88*$C88)),"n/a")</f>
        <v/>
      </c>
      <c r="O88" s="37">
        <f>IFERROR(IF(OR(ISTEXT('Capacity (MW)'!N88),'Capacity (MW)'!N88=0,ISTEXT('Generation (TWh)'!O88)),"n/a",'Generation (TWh)'!O88*1000000/('Capacity (MW)'!N88*$C88)),"n/a")</f>
        <v/>
      </c>
      <c r="P88" s="37">
        <f>IFERROR(IF(OR(ISTEXT('Capacity (MW)'!O88),'Capacity (MW)'!O88=0,ISTEXT('Generation (TWh)'!P88)),"n/a",'Generation (TWh)'!P88*1000000/('Capacity (MW)'!O88*$C88)),"n/a")</f>
        <v/>
      </c>
    </row>
    <row r="89" ht="15" customHeight="1" s="22">
      <c r="A89" s="31" t="n">
        <v>2021</v>
      </c>
      <c r="B89" s="31" t="n">
        <v>1</v>
      </c>
      <c r="C89" s="31" t="n">
        <v>2160</v>
      </c>
      <c r="D89" s="37">
        <f>IFERROR(IF(OR(ISTEXT('Capacity (MW)'!C89),'Capacity (MW)'!C89=0,ISTEXT('Generation (TWh)'!D89)),"n/a",'Generation (TWh)'!D89*1000000/('Capacity (MW)'!C89*$C89)),"n/a")</f>
        <v/>
      </c>
      <c r="E89" s="37">
        <f>IFERROR(IF(OR(ISTEXT('Capacity (MW)'!D89),'Capacity (MW)'!D89=0,ISTEXT('Generation (TWh)'!E89)),"n/a",'Generation (TWh)'!E89*1000000/('Capacity (MW)'!D89*$C89)),"n/a")</f>
        <v/>
      </c>
      <c r="F89" s="37">
        <f>IFERROR(IF(OR(ISTEXT('Capacity (MW)'!E89),'Capacity (MW)'!E89=0,ISTEXT('Generation (TWh)'!F89)),"n/a",'Generation (TWh)'!F89*1000000/('Capacity (MW)'!E89*$C89)),"n/a")</f>
        <v/>
      </c>
      <c r="G89" s="37">
        <f>IFERROR(IF(OR(ISTEXT('Capacity (MW)'!F89),'Capacity (MW)'!F89=0,ISTEXT('Generation (TWh)'!G89)),"n/a",'Generation (TWh)'!G89*1000000/('Capacity (MW)'!F89*$C89)),"n/a")</f>
        <v/>
      </c>
      <c r="H89" s="37">
        <f>IFERROR(IF(OR(ISTEXT('Capacity (MW)'!G89),'Capacity (MW)'!G89=0,ISTEXT('Generation (TWh)'!H89)),"n/a",'Generation (TWh)'!H89*1000000/('Capacity (MW)'!G89*$C89)),"n/a")</f>
        <v/>
      </c>
      <c r="I89" s="37">
        <f>IFERROR(IF(OR(ISTEXT('Capacity (MW)'!H89),'Capacity (MW)'!H89=0,ISTEXT('Generation (TWh)'!I89)),"n/a",'Generation (TWh)'!I89*1000000/('Capacity (MW)'!H89*$C89)),"n/a")</f>
        <v/>
      </c>
      <c r="J89" s="37">
        <f>IFERROR(IF(OR(ISTEXT('Capacity (MW)'!I89),'Capacity (MW)'!I89=0,ISTEXT('Generation (TWh)'!J89)),"n/a",'Generation (TWh)'!J89*1000000/('Capacity (MW)'!I89*$C89)),"n/a")</f>
        <v/>
      </c>
      <c r="K89" s="37">
        <f>IFERROR(IF(OR(ISTEXT('Capacity (MW)'!J89),'Capacity (MW)'!J89=0,ISTEXT('Generation (TWh)'!K89)),"n/a",'Generation (TWh)'!K89*1000000/('Capacity (MW)'!J89*$C89)),"n/a")</f>
        <v/>
      </c>
      <c r="L89" s="37">
        <f>IFERROR(IF(OR(ISTEXT('Capacity (MW)'!K89),'Capacity (MW)'!K89=0,ISTEXT('Generation (TWh)'!L89)),"n/a",'Generation (TWh)'!L89*1000000/('Capacity (MW)'!K89*$C89)),"n/a")</f>
        <v/>
      </c>
      <c r="M89" s="37">
        <f>IFERROR(IF(OR(ISTEXT('Capacity (MW)'!L89),'Capacity (MW)'!L89=0,ISTEXT('Generation (TWh)'!M89)),"n/a",'Generation (TWh)'!M89*1000000/('Capacity (MW)'!L89*$C89)),"n/a")</f>
        <v/>
      </c>
      <c r="N89" s="37">
        <f>IFERROR(IF(OR(ISTEXT('Capacity (MW)'!M89),'Capacity (MW)'!M89=0,ISTEXT('Generation (TWh)'!N89)),"n/a",'Generation (TWh)'!N89*1000000/('Capacity (MW)'!M89*$C89)),"n/a")</f>
        <v/>
      </c>
      <c r="O89" s="37">
        <f>IFERROR(IF(OR(ISTEXT('Capacity (MW)'!N89),'Capacity (MW)'!N89=0,ISTEXT('Generation (TWh)'!O89)),"n/a",'Generation (TWh)'!O89*1000000/('Capacity (MW)'!N89*$C89)),"n/a")</f>
        <v/>
      </c>
      <c r="P89" s="37">
        <f>IFERROR(IF(OR(ISTEXT('Capacity (MW)'!O89),'Capacity (MW)'!O89=0,ISTEXT('Generation (TWh)'!P89)),"n/a",'Generation (TWh)'!P89*1000000/('Capacity (MW)'!O89*$C89)),"n/a")</f>
        <v/>
      </c>
    </row>
    <row r="90" ht="15" customHeight="1" s="22">
      <c r="A90" s="31" t="n">
        <v>2021</v>
      </c>
      <c r="B90" s="31" t="n">
        <v>2</v>
      </c>
      <c r="C90" s="31" t="n">
        <v>2184</v>
      </c>
      <c r="D90" s="37">
        <f>IFERROR(IF(OR(ISTEXT('Capacity (MW)'!C90),'Capacity (MW)'!C90=0,ISTEXT('Generation (TWh)'!D90)),"n/a",'Generation (TWh)'!D90*1000000/('Capacity (MW)'!C90*$C90)),"n/a")</f>
        <v/>
      </c>
      <c r="E90" s="37">
        <f>IFERROR(IF(OR(ISTEXT('Capacity (MW)'!D90),'Capacity (MW)'!D90=0,ISTEXT('Generation (TWh)'!E90)),"n/a",'Generation (TWh)'!E90*1000000/('Capacity (MW)'!D90*$C90)),"n/a")</f>
        <v/>
      </c>
      <c r="F90" s="37">
        <f>IFERROR(IF(OR(ISTEXT('Capacity (MW)'!E90),'Capacity (MW)'!E90=0,ISTEXT('Generation (TWh)'!F90)),"n/a",'Generation (TWh)'!F90*1000000/('Capacity (MW)'!E90*$C90)),"n/a")</f>
        <v/>
      </c>
      <c r="G90" s="37">
        <f>IFERROR(IF(OR(ISTEXT('Capacity (MW)'!F90),'Capacity (MW)'!F90=0,ISTEXT('Generation (TWh)'!G90)),"n/a",'Generation (TWh)'!G90*1000000/('Capacity (MW)'!F90*$C90)),"n/a")</f>
        <v/>
      </c>
      <c r="H90" s="37">
        <f>IFERROR(IF(OR(ISTEXT('Capacity (MW)'!G90),'Capacity (MW)'!G90=0,ISTEXT('Generation (TWh)'!H90)),"n/a",'Generation (TWh)'!H90*1000000/('Capacity (MW)'!G90*$C90)),"n/a")</f>
        <v/>
      </c>
      <c r="I90" s="37">
        <f>IFERROR(IF(OR(ISTEXT('Capacity (MW)'!H90),'Capacity (MW)'!H90=0,ISTEXT('Generation (TWh)'!I90)),"n/a",'Generation (TWh)'!I90*1000000/('Capacity (MW)'!H90*$C90)),"n/a")</f>
        <v/>
      </c>
      <c r="J90" s="37">
        <f>IFERROR(IF(OR(ISTEXT('Capacity (MW)'!I90),'Capacity (MW)'!I90=0,ISTEXT('Generation (TWh)'!J90)),"n/a",'Generation (TWh)'!J90*1000000/('Capacity (MW)'!I90*$C90)),"n/a")</f>
        <v/>
      </c>
      <c r="K90" s="37">
        <f>IFERROR(IF(OR(ISTEXT('Capacity (MW)'!J90),'Capacity (MW)'!J90=0,ISTEXT('Generation (TWh)'!K90)),"n/a",'Generation (TWh)'!K90*1000000/('Capacity (MW)'!J90*$C90)),"n/a")</f>
        <v/>
      </c>
      <c r="L90" s="37">
        <f>IFERROR(IF(OR(ISTEXT('Capacity (MW)'!K90),'Capacity (MW)'!K90=0,ISTEXT('Generation (TWh)'!L90)),"n/a",'Generation (TWh)'!L90*1000000/('Capacity (MW)'!K90*$C90)),"n/a")</f>
        <v/>
      </c>
      <c r="M90" s="37">
        <f>IFERROR(IF(OR(ISTEXT('Capacity (MW)'!L90),'Capacity (MW)'!L90=0,ISTEXT('Generation (TWh)'!M90)),"n/a",'Generation (TWh)'!M90*1000000/('Capacity (MW)'!L90*$C90)),"n/a")</f>
        <v/>
      </c>
      <c r="N90" s="37">
        <f>IFERROR(IF(OR(ISTEXT('Capacity (MW)'!M90),'Capacity (MW)'!M90=0,ISTEXT('Generation (TWh)'!N90)),"n/a",'Generation (TWh)'!N90*1000000/('Capacity (MW)'!M90*$C90)),"n/a")</f>
        <v/>
      </c>
      <c r="O90" s="37">
        <f>IFERROR(IF(OR(ISTEXT('Capacity (MW)'!N90),'Capacity (MW)'!N90=0,ISTEXT('Generation (TWh)'!O90)),"n/a",'Generation (TWh)'!O90*1000000/('Capacity (MW)'!N90*$C90)),"n/a")</f>
        <v/>
      </c>
      <c r="P90" s="37">
        <f>IFERROR(IF(OR(ISTEXT('Capacity (MW)'!O90),'Capacity (MW)'!O90=0,ISTEXT('Generation (TWh)'!P90)),"n/a",'Generation (TWh)'!P90*1000000/('Capacity (MW)'!O90*$C90)),"n/a")</f>
        <v/>
      </c>
    </row>
    <row r="91" ht="15" customHeight="1" s="22">
      <c r="A91" s="31" t="n">
        <v>2021</v>
      </c>
      <c r="B91" s="31" t="n">
        <v>3</v>
      </c>
      <c r="C91" s="31" t="n">
        <v>2208</v>
      </c>
      <c r="D91" s="37">
        <f>IFERROR(IF(OR(ISTEXT('Capacity (MW)'!C91),'Capacity (MW)'!C91=0,ISTEXT('Generation (TWh)'!D91)),"n/a",'Generation (TWh)'!D91*1000000/('Capacity (MW)'!C91*$C91)),"n/a")</f>
        <v/>
      </c>
      <c r="E91" s="37">
        <f>IFERROR(IF(OR(ISTEXT('Capacity (MW)'!D91),'Capacity (MW)'!D91=0,ISTEXT('Generation (TWh)'!E91)),"n/a",'Generation (TWh)'!E91*1000000/('Capacity (MW)'!D91*$C91)),"n/a")</f>
        <v/>
      </c>
      <c r="F91" s="37">
        <f>IFERROR(IF(OR(ISTEXT('Capacity (MW)'!E91),'Capacity (MW)'!E91=0,ISTEXT('Generation (TWh)'!F91)),"n/a",'Generation (TWh)'!F91*1000000/('Capacity (MW)'!E91*$C91)),"n/a")</f>
        <v/>
      </c>
      <c r="G91" s="37">
        <f>IFERROR(IF(OR(ISTEXT('Capacity (MW)'!F91),'Capacity (MW)'!F91=0,ISTEXT('Generation (TWh)'!G91)),"n/a",'Generation (TWh)'!G91*1000000/('Capacity (MW)'!F91*$C91)),"n/a")</f>
        <v/>
      </c>
      <c r="H91" s="37">
        <f>IFERROR(IF(OR(ISTEXT('Capacity (MW)'!G91),'Capacity (MW)'!G91=0,ISTEXT('Generation (TWh)'!H91)),"n/a",'Generation (TWh)'!H91*1000000/('Capacity (MW)'!G91*$C91)),"n/a")</f>
        <v/>
      </c>
      <c r="I91" s="37">
        <f>IFERROR(IF(OR(ISTEXT('Capacity (MW)'!H91),'Capacity (MW)'!H91=0,ISTEXT('Generation (TWh)'!I91)),"n/a",'Generation (TWh)'!I91*1000000/('Capacity (MW)'!H91*$C91)),"n/a")</f>
        <v/>
      </c>
      <c r="J91" s="37">
        <f>IFERROR(IF(OR(ISTEXT('Capacity (MW)'!I91),'Capacity (MW)'!I91=0,ISTEXT('Generation (TWh)'!J91)),"n/a",'Generation (TWh)'!J91*1000000/('Capacity (MW)'!I91*$C91)),"n/a")</f>
        <v/>
      </c>
      <c r="K91" s="37">
        <f>IFERROR(IF(OR(ISTEXT('Capacity (MW)'!J91),'Capacity (MW)'!J91=0,ISTEXT('Generation (TWh)'!K91)),"n/a",'Generation (TWh)'!K91*1000000/('Capacity (MW)'!J91*$C91)),"n/a")</f>
        <v/>
      </c>
      <c r="L91" s="37">
        <f>IFERROR(IF(OR(ISTEXT('Capacity (MW)'!K91),'Capacity (MW)'!K91=0,ISTEXT('Generation (TWh)'!L91)),"n/a",'Generation (TWh)'!L91*1000000/('Capacity (MW)'!K91*$C91)),"n/a")</f>
        <v/>
      </c>
      <c r="M91" s="37">
        <f>IFERROR(IF(OR(ISTEXT('Capacity (MW)'!L91),'Capacity (MW)'!L91=0,ISTEXT('Generation (TWh)'!M91)),"n/a",'Generation (TWh)'!M91*1000000/('Capacity (MW)'!L91*$C91)),"n/a")</f>
        <v/>
      </c>
      <c r="N91" s="37">
        <f>IFERROR(IF(OR(ISTEXT('Capacity (MW)'!M91),'Capacity (MW)'!M91=0,ISTEXT('Generation (TWh)'!N91)),"n/a",'Generation (TWh)'!N91*1000000/('Capacity (MW)'!M91*$C91)),"n/a")</f>
        <v/>
      </c>
      <c r="O91" s="37">
        <f>IFERROR(IF(OR(ISTEXT('Capacity (MW)'!N91),'Capacity (MW)'!N91=0,ISTEXT('Generation (TWh)'!O91)),"n/a",'Generation (TWh)'!O91*1000000/('Capacity (MW)'!N91*$C91)),"n/a")</f>
        <v/>
      </c>
      <c r="P91" s="37">
        <f>IFERROR(IF(OR(ISTEXT('Capacity (MW)'!O91),'Capacity (MW)'!O91=0,ISTEXT('Generation (TWh)'!P91)),"n/a",'Generation (TWh)'!P91*1000000/('Capacity (MW)'!O91*$C91)),"n/a")</f>
        <v/>
      </c>
    </row>
    <row r="92" ht="15" customHeight="1" s="22">
      <c r="A92" s="31" t="n">
        <v>2021</v>
      </c>
      <c r="B92" s="31" t="n">
        <v>4</v>
      </c>
      <c r="C92" s="31" t="n">
        <v>2208</v>
      </c>
      <c r="D92" s="37">
        <f>IFERROR(IF(OR(ISTEXT('Capacity (MW)'!C92),'Capacity (MW)'!C92=0,ISTEXT('Generation (TWh)'!D92)),"n/a",'Generation (TWh)'!D92*1000000/('Capacity (MW)'!C92*$C92)),"n/a")</f>
        <v/>
      </c>
      <c r="E92" s="37">
        <f>IFERROR(IF(OR(ISTEXT('Capacity (MW)'!D92),'Capacity (MW)'!D92=0,ISTEXT('Generation (TWh)'!E92)),"n/a",'Generation (TWh)'!E92*1000000/('Capacity (MW)'!D92*$C92)),"n/a")</f>
        <v/>
      </c>
      <c r="F92" s="37">
        <f>IFERROR(IF(OR(ISTEXT('Capacity (MW)'!E92),'Capacity (MW)'!E92=0,ISTEXT('Generation (TWh)'!F92)),"n/a",'Generation (TWh)'!F92*1000000/('Capacity (MW)'!E92*$C92)),"n/a")</f>
        <v/>
      </c>
      <c r="G92" s="37">
        <f>IFERROR(IF(OR(ISTEXT('Capacity (MW)'!F92),'Capacity (MW)'!F92=0,ISTEXT('Generation (TWh)'!G92)),"n/a",'Generation (TWh)'!G92*1000000/('Capacity (MW)'!F92*$C92)),"n/a")</f>
        <v/>
      </c>
      <c r="H92" s="37">
        <f>IFERROR(IF(OR(ISTEXT('Capacity (MW)'!G92),'Capacity (MW)'!G92=0,ISTEXT('Generation (TWh)'!H92)),"n/a",'Generation (TWh)'!H92*1000000/('Capacity (MW)'!G92*$C92)),"n/a")</f>
        <v/>
      </c>
      <c r="I92" s="37">
        <f>IFERROR(IF(OR(ISTEXT('Capacity (MW)'!H92),'Capacity (MW)'!H92=0,ISTEXT('Generation (TWh)'!I92)),"n/a",'Generation (TWh)'!I92*1000000/('Capacity (MW)'!H92*$C92)),"n/a")</f>
        <v/>
      </c>
      <c r="J92" s="37">
        <f>IFERROR(IF(OR(ISTEXT('Capacity (MW)'!I92),'Capacity (MW)'!I92=0,ISTEXT('Generation (TWh)'!J92)),"n/a",'Generation (TWh)'!J92*1000000/('Capacity (MW)'!I92*$C92)),"n/a")</f>
        <v/>
      </c>
      <c r="K92" s="37">
        <f>IFERROR(IF(OR(ISTEXT('Capacity (MW)'!J92),'Capacity (MW)'!J92=0,ISTEXT('Generation (TWh)'!K92)),"n/a",'Generation (TWh)'!K92*1000000/('Capacity (MW)'!J92*$C92)),"n/a")</f>
        <v/>
      </c>
      <c r="L92" s="37">
        <f>IFERROR(IF(OR(ISTEXT('Capacity (MW)'!K92),'Capacity (MW)'!K92=0,ISTEXT('Generation (TWh)'!L92)),"n/a",'Generation (TWh)'!L92*1000000/('Capacity (MW)'!K92*$C92)),"n/a")</f>
        <v/>
      </c>
      <c r="M92" s="37">
        <f>IFERROR(IF(OR(ISTEXT('Capacity (MW)'!L92),'Capacity (MW)'!L92=0,ISTEXT('Generation (TWh)'!M92)),"n/a",'Generation (TWh)'!M92*1000000/('Capacity (MW)'!L92*$C92)),"n/a")</f>
        <v/>
      </c>
      <c r="N92" s="37">
        <f>IFERROR(IF(OR(ISTEXT('Capacity (MW)'!M92),'Capacity (MW)'!M92=0,ISTEXT('Generation (TWh)'!N92)),"n/a",'Generation (TWh)'!N92*1000000/('Capacity (MW)'!M92*$C92)),"n/a")</f>
        <v/>
      </c>
      <c r="O92" s="37">
        <f>IFERROR(IF(OR(ISTEXT('Capacity (MW)'!N92),'Capacity (MW)'!N92=0,ISTEXT('Generation (TWh)'!O92)),"n/a",'Generation (TWh)'!O92*1000000/('Capacity (MW)'!N92*$C92)),"n/a")</f>
        <v/>
      </c>
      <c r="P92" s="37">
        <f>IFERROR(IF(OR(ISTEXT('Capacity (MW)'!O92),'Capacity (MW)'!O92=0,ISTEXT('Generation (TWh)'!P92)),"n/a",'Generation (TWh)'!P92*1000000/('Capacity (MW)'!O92*$C92)),"n/a")</f>
        <v/>
      </c>
    </row>
    <row r="93" ht="15" customHeight="1" s="22">
      <c r="A93" s="31" t="n">
        <v>2022</v>
      </c>
      <c r="B93" s="31" t="n">
        <v>1</v>
      </c>
      <c r="C93" s="31" t="n">
        <v>2160</v>
      </c>
      <c r="D93" s="37">
        <f>IFERROR(IF(OR(ISTEXT('Capacity (MW)'!C93),'Capacity (MW)'!C93=0,ISTEXT('Generation (TWh)'!D93)),"n/a",'Generation (TWh)'!D93*1000000/('Capacity (MW)'!C93*$C93)),"n/a")</f>
        <v/>
      </c>
      <c r="E93" s="37">
        <f>IFERROR(IF(OR(ISTEXT('Capacity (MW)'!D93),'Capacity (MW)'!D93=0,ISTEXT('Generation (TWh)'!E93)),"n/a",'Generation (TWh)'!E93*1000000/('Capacity (MW)'!D93*$C93)),"n/a")</f>
        <v/>
      </c>
      <c r="F93" s="37">
        <f>IFERROR(IF(OR(ISTEXT('Capacity (MW)'!E93),'Capacity (MW)'!E93=0,ISTEXT('Generation (TWh)'!F93)),"n/a",'Generation (TWh)'!F93*1000000/('Capacity (MW)'!E93*$C93)),"n/a")</f>
        <v/>
      </c>
      <c r="G93" s="37">
        <f>IFERROR(IF(OR(ISTEXT('Capacity (MW)'!F93),'Capacity (MW)'!F93=0,ISTEXT('Generation (TWh)'!G93)),"n/a",'Generation (TWh)'!G93*1000000/('Capacity (MW)'!F93*$C93)),"n/a")</f>
        <v/>
      </c>
      <c r="H93" s="37">
        <f>IFERROR(IF(OR(ISTEXT('Capacity (MW)'!G93),'Capacity (MW)'!G93=0,ISTEXT('Generation (TWh)'!H93)),"n/a",'Generation (TWh)'!H93*1000000/('Capacity (MW)'!G93*$C93)),"n/a")</f>
        <v/>
      </c>
      <c r="I93" s="37">
        <f>IFERROR(IF(OR(ISTEXT('Capacity (MW)'!H93),'Capacity (MW)'!H93=0,ISTEXT('Generation (TWh)'!I93)),"n/a",'Generation (TWh)'!I93*1000000/('Capacity (MW)'!H93*$C93)),"n/a")</f>
        <v/>
      </c>
      <c r="J93" s="37">
        <f>IFERROR(IF(OR(ISTEXT('Capacity (MW)'!I93),'Capacity (MW)'!I93=0,ISTEXT('Generation (TWh)'!J93)),"n/a",'Generation (TWh)'!J93*1000000/('Capacity (MW)'!I93*$C93)),"n/a")</f>
        <v/>
      </c>
      <c r="K93" s="37">
        <f>IFERROR(IF(OR(ISTEXT('Capacity (MW)'!J93),'Capacity (MW)'!J93=0,ISTEXT('Generation (TWh)'!K93)),"n/a",'Generation (TWh)'!K93*1000000/('Capacity (MW)'!J93*$C93)),"n/a")</f>
        <v/>
      </c>
      <c r="L93" s="37">
        <f>IFERROR(IF(OR(ISTEXT('Capacity (MW)'!K93),'Capacity (MW)'!K93=0,ISTEXT('Generation (TWh)'!L93)),"n/a",'Generation (TWh)'!L93*1000000/('Capacity (MW)'!K93*$C93)),"n/a")</f>
        <v/>
      </c>
      <c r="M93" s="37">
        <f>IFERROR(IF(OR(ISTEXT('Capacity (MW)'!L93),'Capacity (MW)'!L93=0,ISTEXT('Generation (TWh)'!M93)),"n/a",'Generation (TWh)'!M93*1000000/('Capacity (MW)'!L93*$C93)),"n/a")</f>
        <v/>
      </c>
      <c r="N93" s="38">
        <f>IFERROR(IF(OR(ISTEXT('Capacity (MW)'!M93),'Capacity (MW)'!M93=0,ISTEXT('Generation (TWh)'!N93)),"n/a",'Generation (TWh)'!N93*1000000/('Capacity (MW)'!M93*$C93)),"n/a")</f>
        <v/>
      </c>
      <c r="O93" s="37">
        <f>IFERROR(IF(OR(ISTEXT('Capacity (MW)'!N93),'Capacity (MW)'!N93=0,ISTEXT('Generation (TWh)'!O93)),"n/a",'Generation (TWh)'!O93*1000000/('Capacity (MW)'!N93*$C93)),"n/a")</f>
        <v/>
      </c>
      <c r="P93" s="37">
        <f>IFERROR(IF(OR(ISTEXT('Capacity (MW)'!O93),'Capacity (MW)'!O93=0,ISTEXT('Generation (TWh)'!P93)),"n/a",'Generation (TWh)'!P93*1000000/('Capacity (MW)'!O93*$C93)),"n/a")</f>
        <v/>
      </c>
    </row>
    <row r="94" ht="15" customHeight="1" s="22">
      <c r="A94" s="31" t="n">
        <v>2022</v>
      </c>
      <c r="B94" s="31" t="n">
        <v>2</v>
      </c>
      <c r="C94" s="31" t="n">
        <v>2184</v>
      </c>
      <c r="D94" s="37">
        <f>IFERROR(IF(OR(ISTEXT('Capacity (MW)'!C94),'Capacity (MW)'!C94=0,ISTEXT('Generation (TWh)'!D94)),"n/a",'Generation (TWh)'!D94*1000000/('Capacity (MW)'!C94*$C94)),"n/a")</f>
        <v/>
      </c>
      <c r="E94" s="37">
        <f>IFERROR(IF(OR(ISTEXT('Capacity (MW)'!D94),'Capacity (MW)'!D94=0,ISTEXT('Generation (TWh)'!E94)),"n/a",'Generation (TWh)'!E94*1000000/('Capacity (MW)'!D94*$C94)),"n/a")</f>
        <v/>
      </c>
      <c r="F94" s="37">
        <f>IFERROR(IF(OR(ISTEXT('Capacity (MW)'!E94),'Capacity (MW)'!E94=0,ISTEXT('Generation (TWh)'!F94)),"n/a",'Generation (TWh)'!F94*1000000/('Capacity (MW)'!E94*$C94)),"n/a")</f>
        <v/>
      </c>
      <c r="G94" s="37">
        <f>IFERROR(IF(OR(ISTEXT('Capacity (MW)'!F94),'Capacity (MW)'!F94=0,ISTEXT('Generation (TWh)'!G94)),"n/a",'Generation (TWh)'!G94*1000000/('Capacity (MW)'!F94*$C94)),"n/a")</f>
        <v/>
      </c>
      <c r="H94" s="37">
        <f>IFERROR(IF(OR(ISTEXT('Capacity (MW)'!G94),'Capacity (MW)'!G94=0,ISTEXT('Generation (TWh)'!H94)),"n/a",'Generation (TWh)'!H94*1000000/('Capacity (MW)'!G94*$C94)),"n/a")</f>
        <v/>
      </c>
      <c r="I94" s="37">
        <f>IFERROR(IF(OR(ISTEXT('Capacity (MW)'!H94),'Capacity (MW)'!H94=0,ISTEXT('Generation (TWh)'!I94)),"n/a",'Generation (TWh)'!I94*1000000/('Capacity (MW)'!H94*$C94)),"n/a")</f>
        <v/>
      </c>
      <c r="J94" s="37">
        <f>IFERROR(IF(OR(ISTEXT('Capacity (MW)'!I94),'Capacity (MW)'!I94=0,ISTEXT('Generation (TWh)'!J94)),"n/a",'Generation (TWh)'!J94*1000000/('Capacity (MW)'!I94*$C94)),"n/a")</f>
        <v/>
      </c>
      <c r="K94" s="37">
        <f>IFERROR(IF(OR(ISTEXT('Capacity (MW)'!J94),'Capacity (MW)'!J94=0,ISTEXT('Generation (TWh)'!K94)),"n/a",'Generation (TWh)'!K94*1000000/('Capacity (MW)'!J94*$C94)),"n/a")</f>
        <v/>
      </c>
      <c r="L94" s="37">
        <f>IFERROR(IF(OR(ISTEXT('Capacity (MW)'!K94),'Capacity (MW)'!K94=0,ISTEXT('Generation (TWh)'!L94)),"n/a",'Generation (TWh)'!L94*1000000/('Capacity (MW)'!K94*$C94)),"n/a")</f>
        <v/>
      </c>
      <c r="M94" s="37">
        <f>IFERROR(IF(OR(ISTEXT('Capacity (MW)'!L94),'Capacity (MW)'!L94=0,ISTEXT('Generation (TWh)'!M94)),"n/a",'Generation (TWh)'!M94*1000000/('Capacity (MW)'!L94*$C94)),"n/a")</f>
        <v/>
      </c>
      <c r="N94" s="38">
        <f>IFERROR(IF(OR(ISTEXT('Capacity (MW)'!M94),'Capacity (MW)'!M94=0,ISTEXT('Generation (TWh)'!N94)),"n/a",'Generation (TWh)'!N94*1000000/('Capacity (MW)'!M94*$C94)),"n/a")</f>
        <v/>
      </c>
      <c r="O94" s="37">
        <f>IFERROR(IF(OR(ISTEXT('Capacity (MW)'!N94),'Capacity (MW)'!N94=0,ISTEXT('Generation (TWh)'!O94)),"n/a",'Generation (TWh)'!O94*1000000/('Capacity (MW)'!N94*$C94)),"n/a")</f>
        <v/>
      </c>
      <c r="P94" s="37">
        <f>IFERROR(IF(OR(ISTEXT('Capacity (MW)'!O94),'Capacity (MW)'!O94=0,ISTEXT('Generation (TWh)'!P94)),"n/a",'Generation (TWh)'!P94*1000000/('Capacity (MW)'!O94*$C94)),"n/a")</f>
        <v/>
      </c>
    </row>
    <row r="95" ht="15" customHeight="1" s="22">
      <c r="A95" s="31" t="n">
        <v>2022</v>
      </c>
      <c r="B95" s="31" t="n">
        <v>3</v>
      </c>
      <c r="C95" s="31" t="n">
        <v>2208</v>
      </c>
      <c r="D95" s="37">
        <f>IFERROR(IF(OR(ISTEXT('Capacity (MW)'!C95),'Capacity (MW)'!C95=0,ISTEXT('Generation (TWh)'!D95)),"n/a",'Generation (TWh)'!D95*1000000/('Capacity (MW)'!C95*$C95)),"n/a")</f>
        <v/>
      </c>
      <c r="E95" s="37">
        <f>IFERROR(IF(OR(ISTEXT('Capacity (MW)'!D95),'Capacity (MW)'!D95=0,ISTEXT('Generation (TWh)'!E95)),"n/a",'Generation (TWh)'!E95*1000000/('Capacity (MW)'!D95*$C95)),"n/a")</f>
        <v/>
      </c>
      <c r="F95" s="37">
        <f>IFERROR(IF(OR(ISTEXT('Capacity (MW)'!E95),'Capacity (MW)'!E95=0,ISTEXT('Generation (TWh)'!F95)),"n/a",'Generation (TWh)'!F95*1000000/('Capacity (MW)'!E95*$C95)),"n/a")</f>
        <v/>
      </c>
      <c r="G95" s="37">
        <f>IFERROR(IF(OR(ISTEXT('Capacity (MW)'!F95),'Capacity (MW)'!F95=0,ISTEXT('Generation (TWh)'!G95)),"n/a",'Generation (TWh)'!G95*1000000/('Capacity (MW)'!F95*$C95)),"n/a")</f>
        <v/>
      </c>
      <c r="H95" s="37">
        <f>IFERROR(IF(OR(ISTEXT('Capacity (MW)'!G95),'Capacity (MW)'!G95=0,ISTEXT('Generation (TWh)'!H95)),"n/a",'Generation (TWh)'!H95*1000000/('Capacity (MW)'!G95*$C95)),"n/a")</f>
        <v/>
      </c>
      <c r="I95" s="37">
        <f>IFERROR(IF(OR(ISTEXT('Capacity (MW)'!H95),'Capacity (MW)'!H95=0,ISTEXT('Generation (TWh)'!I95)),"n/a",'Generation (TWh)'!I95*1000000/('Capacity (MW)'!H95*$C95)),"n/a")</f>
        <v/>
      </c>
      <c r="J95" s="37">
        <f>IFERROR(IF(OR(ISTEXT('Capacity (MW)'!I95),'Capacity (MW)'!I95=0,ISTEXT('Generation (TWh)'!J95)),"n/a",'Generation (TWh)'!J95*1000000/('Capacity (MW)'!I95*$C95)),"n/a")</f>
        <v/>
      </c>
      <c r="K95" s="37">
        <f>IFERROR(IF(OR(ISTEXT('Capacity (MW)'!J95),'Capacity (MW)'!J95=0,ISTEXT('Generation (TWh)'!K95)),"n/a",'Generation (TWh)'!K95*1000000/('Capacity (MW)'!J95*$C95)),"n/a")</f>
        <v/>
      </c>
      <c r="L95" s="37">
        <f>IFERROR(IF(OR(ISTEXT('Capacity (MW)'!K95),'Capacity (MW)'!K95=0,ISTEXT('Generation (TWh)'!L95)),"n/a",'Generation (TWh)'!L95*1000000/('Capacity (MW)'!K95*$C95)),"n/a")</f>
        <v/>
      </c>
      <c r="M95" s="37">
        <f>IFERROR(IF(OR(ISTEXT('Capacity (MW)'!L95),'Capacity (MW)'!L95=0,ISTEXT('Generation (TWh)'!M95)),"n/a",'Generation (TWh)'!M95*1000000/('Capacity (MW)'!L95*$C95)),"n/a")</f>
        <v/>
      </c>
      <c r="N95" s="38">
        <f>IFERROR(IF(OR(ISTEXT('Capacity (MW)'!M95),'Capacity (MW)'!M95=0,ISTEXT('Generation (TWh)'!N95)),"n/a",'Generation (TWh)'!N95*1000000/('Capacity (MW)'!M95*$C95)),"n/a")</f>
        <v/>
      </c>
      <c r="O95" s="37">
        <f>IFERROR(IF(OR(ISTEXT('Capacity (MW)'!N95),'Capacity (MW)'!N95=0,ISTEXT('Generation (TWh)'!O95)),"n/a",'Generation (TWh)'!O95*1000000/('Capacity (MW)'!N95*$C95)),"n/a")</f>
        <v/>
      </c>
      <c r="P95" s="37">
        <f>IFERROR(IF(OR(ISTEXT('Capacity (MW)'!O95),'Capacity (MW)'!O95=0,ISTEXT('Generation (TWh)'!P95)),"n/a",'Generation (TWh)'!P95*1000000/('Capacity (MW)'!O95*$C95)),"n/a")</f>
        <v/>
      </c>
    </row>
    <row r="96" ht="15" customHeight="1" s="22">
      <c r="A96" s="31" t="n">
        <v>2022</v>
      </c>
      <c r="B96" s="31" t="n">
        <v>4</v>
      </c>
      <c r="C96" s="31" t="n">
        <v>2208</v>
      </c>
      <c r="D96" s="37">
        <f>IFERROR(IF(OR(ISTEXT('Capacity (MW)'!C96),'Capacity (MW)'!C96=0,ISTEXT('Generation (TWh)'!D96)),"n/a",'Generation (TWh)'!D96*1000000/('Capacity (MW)'!C96*$C96)),"n/a")</f>
        <v/>
      </c>
      <c r="E96" s="37">
        <f>IFERROR(IF(OR(ISTEXT('Capacity (MW)'!D96),'Capacity (MW)'!D96=0,ISTEXT('Generation (TWh)'!E96)),"n/a",'Generation (TWh)'!E96*1000000/('Capacity (MW)'!D96*$C96)),"n/a")</f>
        <v/>
      </c>
      <c r="F96" s="37">
        <f>IFERROR(IF(OR(ISTEXT('Capacity (MW)'!E96),'Capacity (MW)'!E96=0,ISTEXT('Generation (TWh)'!F96)),"n/a",'Generation (TWh)'!F96*1000000/('Capacity (MW)'!E96*$C96)),"n/a")</f>
        <v/>
      </c>
      <c r="G96" s="37">
        <f>IFERROR(IF(OR(ISTEXT('Capacity (MW)'!F96),'Capacity (MW)'!F96=0,ISTEXT('Generation (TWh)'!G96)),"n/a",'Generation (TWh)'!G96*1000000/('Capacity (MW)'!F96*$C96)),"n/a")</f>
        <v/>
      </c>
      <c r="H96" s="37">
        <f>IFERROR(IF(OR(ISTEXT('Capacity (MW)'!G96),'Capacity (MW)'!G96=0,ISTEXT('Generation (TWh)'!H96)),"n/a",'Generation (TWh)'!H96*1000000/('Capacity (MW)'!G96*$C96)),"n/a")</f>
        <v/>
      </c>
      <c r="I96" s="37">
        <f>IFERROR(IF(OR(ISTEXT('Capacity (MW)'!H96),'Capacity (MW)'!H96=0,ISTEXT('Generation (TWh)'!I96)),"n/a",'Generation (TWh)'!I96*1000000/('Capacity (MW)'!H96*$C96)),"n/a")</f>
        <v/>
      </c>
      <c r="J96" s="37">
        <f>IFERROR(IF(OR(ISTEXT('Capacity (MW)'!I96),'Capacity (MW)'!I96=0,ISTEXT('Generation (TWh)'!J96)),"n/a",'Generation (TWh)'!J96*1000000/('Capacity (MW)'!I96*$C96)),"n/a")</f>
        <v/>
      </c>
      <c r="K96" s="37">
        <f>IFERROR(IF(OR(ISTEXT('Capacity (MW)'!J96),'Capacity (MW)'!J96=0,ISTEXT('Generation (TWh)'!K96)),"n/a",'Generation (TWh)'!K96*1000000/('Capacity (MW)'!J96*$C96)),"n/a")</f>
        <v/>
      </c>
      <c r="L96" s="37">
        <f>IFERROR(IF(OR(ISTEXT('Capacity (MW)'!K96),'Capacity (MW)'!K96=0,ISTEXT('Generation (TWh)'!L96)),"n/a",'Generation (TWh)'!L96*1000000/('Capacity (MW)'!K96*$C96)),"n/a")</f>
        <v/>
      </c>
      <c r="M96" s="37">
        <f>IFERROR(IF(OR(ISTEXT('Capacity (MW)'!L96),'Capacity (MW)'!L96=0,ISTEXT('Generation (TWh)'!M96)),"n/a",'Generation (TWh)'!M96*1000000/('Capacity (MW)'!L96*$C96)),"n/a")</f>
        <v/>
      </c>
      <c r="N96" s="38">
        <f>IFERROR(IF(OR(ISTEXT('Capacity (MW)'!M96),'Capacity (MW)'!M96=0,ISTEXT('Generation (TWh)'!N96)),"n/a",'Generation (TWh)'!N96*1000000/('Capacity (MW)'!M96*$C96)),"n/a")</f>
        <v/>
      </c>
      <c r="O96" s="37">
        <f>IFERROR(IF(OR(ISTEXT('Capacity (MW)'!N96),'Capacity (MW)'!N96=0,ISTEXT('Generation (TWh)'!O96)),"n/a",'Generation (TWh)'!O96*1000000/('Capacity (MW)'!N96*$C96)),"n/a")</f>
        <v/>
      </c>
      <c r="P96" s="37">
        <f>IFERROR(IF(OR(ISTEXT('Capacity (MW)'!O96),'Capacity (MW)'!O96=0,ISTEXT('Generation (TWh)'!P96)),"n/a",'Generation (TWh)'!P96*1000000/('Capacity (MW)'!O96*$C96)),"n/a")</f>
        <v/>
      </c>
    </row>
    <row r="97" ht="15" customHeight="1" s="22">
      <c r="A97" s="31" t="n">
        <v>2023</v>
      </c>
      <c r="B97" s="31" t="n">
        <v>1</v>
      </c>
      <c r="C97" s="31" t="n">
        <v>2160</v>
      </c>
      <c r="D97" s="37">
        <f>IFERROR(IF(OR(ISTEXT('Capacity (MW)'!C97),'Capacity (MW)'!C97=0,ISTEXT('Generation (TWh)'!D97)),"n/a",'Generation (TWh)'!D97*1000000/('Capacity (MW)'!C97*$C97)),"n/a")</f>
        <v/>
      </c>
      <c r="E97" s="37">
        <f>IFERROR(IF(OR(ISTEXT('Capacity (MW)'!D97),'Capacity (MW)'!D97=0,ISTEXT('Generation (TWh)'!E97)),"n/a",'Generation (TWh)'!E97*1000000/('Capacity (MW)'!D97*$C97)),"n/a")</f>
        <v/>
      </c>
      <c r="F97" s="37">
        <f>IFERROR(IF(OR(ISTEXT('Capacity (MW)'!E97),'Capacity (MW)'!E97=0,ISTEXT('Generation (TWh)'!F97)),"n/a",'Generation (TWh)'!F97*1000000/('Capacity (MW)'!E97*$C97)),"n/a")</f>
        <v/>
      </c>
      <c r="G97" s="37">
        <f>IFERROR(IF(OR(ISTEXT('Capacity (MW)'!F97),'Capacity (MW)'!F97=0,ISTEXT('Generation (TWh)'!G97)),"n/a",'Generation (TWh)'!G97*1000000/('Capacity (MW)'!F97*$C97)),"n/a")</f>
        <v/>
      </c>
      <c r="H97" s="37">
        <f>IFERROR(IF(OR(ISTEXT('Capacity (MW)'!G97),'Capacity (MW)'!G97=0,ISTEXT('Generation (TWh)'!H97)),"n/a",'Generation (TWh)'!H97*1000000/('Capacity (MW)'!G97*$C97)),"n/a")</f>
        <v/>
      </c>
      <c r="I97" s="37">
        <f>IFERROR(IF(OR(ISTEXT('Capacity (MW)'!H97),'Capacity (MW)'!H97=0,ISTEXT('Generation (TWh)'!I97)),"n/a",'Generation (TWh)'!I97*1000000/('Capacity (MW)'!H97*$C97)),"n/a")</f>
        <v/>
      </c>
      <c r="J97" s="37">
        <f>IFERROR(IF(OR(ISTEXT('Capacity (MW)'!I97),'Capacity (MW)'!I97=0,ISTEXT('Generation (TWh)'!J97)),"n/a",'Generation (TWh)'!J97*1000000/('Capacity (MW)'!I97*$C97)),"n/a")</f>
        <v/>
      </c>
      <c r="K97" s="37">
        <f>IFERROR(IF(OR(ISTEXT('Capacity (MW)'!J97),'Capacity (MW)'!J97=0,ISTEXT('Generation (TWh)'!K97)),"n/a",'Generation (TWh)'!K97*1000000/('Capacity (MW)'!J97*$C97)),"n/a")</f>
        <v/>
      </c>
      <c r="L97" s="37">
        <f>IFERROR(IF(OR(ISTEXT('Capacity (MW)'!K97),'Capacity (MW)'!K97=0,ISTEXT('Generation (TWh)'!L97)),"n/a",'Generation (TWh)'!L97*1000000/('Capacity (MW)'!K97*$C97)),"n/a")</f>
        <v/>
      </c>
      <c r="M97" s="37">
        <f>IFERROR(IF(OR(ISTEXT('Capacity (MW)'!L97),'Capacity (MW)'!L97=0,ISTEXT('Generation (TWh)'!M97)),"n/a",'Generation (TWh)'!M97*1000000/('Capacity (MW)'!L97*$C97)),"n/a")</f>
        <v/>
      </c>
      <c r="N97" s="38">
        <f>IFERROR(IF(OR(ISTEXT('Capacity (MW)'!M97),'Capacity (MW)'!M97=0,ISTEXT('Generation (TWh)'!N97)),"n/a",'Generation (TWh)'!N97*1000000/('Capacity (MW)'!M97*$C97)),"n/a")</f>
        <v/>
      </c>
      <c r="O97" s="37">
        <f>IFERROR(IF(OR(ISTEXT('Capacity (MW)'!N97),'Capacity (MW)'!N97=0,ISTEXT('Generation (TWh)'!O97)),"n/a",'Generation (TWh)'!O97*1000000/('Capacity (MW)'!N97*$C97)),"n/a")</f>
        <v/>
      </c>
      <c r="P97" s="37">
        <f>IFERROR(IF(OR(ISTEXT('Capacity (MW)'!O97),'Capacity (MW)'!O97=0,ISTEXT('Generation (TWh)'!P97)),"n/a",'Generation (TWh)'!P97*1000000/('Capacity (MW)'!O97*$C97)),"n/a")</f>
        <v/>
      </c>
    </row>
    <row r="98" ht="15" customHeight="1" s="22">
      <c r="A98" s="31" t="n">
        <v>2023</v>
      </c>
      <c r="B98" s="31" t="n">
        <v>2</v>
      </c>
      <c r="C98" s="31" t="n">
        <v>2184</v>
      </c>
      <c r="D98" s="37">
        <f>IFERROR(IF(OR(ISTEXT('Capacity (MW)'!C98),'Capacity (MW)'!C98=0,ISTEXT('Generation (TWh)'!D98)),"n/a",'Generation (TWh)'!D98*1000000/('Capacity (MW)'!C98*$C98)),"n/a")</f>
        <v/>
      </c>
      <c r="E98" s="37">
        <f>IFERROR(IF(OR(ISTEXT('Capacity (MW)'!D98),'Capacity (MW)'!D98=0,ISTEXT('Generation (TWh)'!E98)),"n/a",'Generation (TWh)'!E98*1000000/('Capacity (MW)'!D98*$C98)),"n/a")</f>
        <v/>
      </c>
      <c r="F98" s="37">
        <f>IFERROR(IF(OR(ISTEXT('Capacity (MW)'!E98),'Capacity (MW)'!E98=0,ISTEXT('Generation (TWh)'!F98)),"n/a",'Generation (TWh)'!F98*1000000/('Capacity (MW)'!E98*$C98)),"n/a")</f>
        <v/>
      </c>
      <c r="G98" s="37">
        <f>IFERROR(IF(OR(ISTEXT('Capacity (MW)'!F98),'Capacity (MW)'!F98=0,ISTEXT('Generation (TWh)'!G98)),"n/a",'Generation (TWh)'!G98*1000000/('Capacity (MW)'!F98*$C98)),"n/a")</f>
        <v/>
      </c>
      <c r="H98" s="37">
        <f>IFERROR(IF(OR(ISTEXT('Capacity (MW)'!G98),'Capacity (MW)'!G98=0,ISTEXT('Generation (TWh)'!H98)),"n/a",'Generation (TWh)'!H98*1000000/('Capacity (MW)'!G98*$C98)),"n/a")</f>
        <v/>
      </c>
      <c r="I98" s="37">
        <f>IFERROR(IF(OR(ISTEXT('Capacity (MW)'!H98),'Capacity (MW)'!H98=0,ISTEXT('Generation (TWh)'!I98)),"n/a",'Generation (TWh)'!I98*1000000/('Capacity (MW)'!H98*$C98)),"n/a")</f>
        <v/>
      </c>
      <c r="J98" s="37">
        <f>IFERROR(IF(OR(ISTEXT('Capacity (MW)'!I98),'Capacity (MW)'!I98=0,ISTEXT('Generation (TWh)'!J98)),"n/a",'Generation (TWh)'!J98*1000000/('Capacity (MW)'!I98*$C98)),"n/a")</f>
        <v/>
      </c>
      <c r="K98" s="37">
        <f>IFERROR(IF(OR(ISTEXT('Capacity (MW)'!J98),'Capacity (MW)'!J98=0,ISTEXT('Generation (TWh)'!K98)),"n/a",'Generation (TWh)'!K98*1000000/('Capacity (MW)'!J98*$C98)),"n/a")</f>
        <v/>
      </c>
      <c r="L98" s="37">
        <f>IFERROR(IF(OR(ISTEXT('Capacity (MW)'!K98),'Capacity (MW)'!K98=0,ISTEXT('Generation (TWh)'!L98)),"n/a",'Generation (TWh)'!L98*1000000/('Capacity (MW)'!K98*$C98)),"n/a")</f>
        <v/>
      </c>
      <c r="M98" s="37">
        <f>IFERROR(IF(OR(ISTEXT('Capacity (MW)'!L98),'Capacity (MW)'!L98=0,ISTEXT('Generation (TWh)'!M98)),"n/a",'Generation (TWh)'!M98*1000000/('Capacity (MW)'!L98*$C98)),"n/a")</f>
        <v/>
      </c>
      <c r="N98" s="38">
        <f>IFERROR(IF(OR(ISTEXT('Capacity (MW)'!M98),'Capacity (MW)'!M98=0,ISTEXT('Generation (TWh)'!N98)),"n/a",'Generation (TWh)'!N98*1000000/('Capacity (MW)'!M98*$C98)),"n/a")</f>
        <v/>
      </c>
      <c r="O98" s="37">
        <f>IFERROR(IF(OR(ISTEXT('Capacity (MW)'!N98),'Capacity (MW)'!N98=0,ISTEXT('Generation (TWh)'!O98)),"n/a",'Generation (TWh)'!O98*1000000/('Capacity (MW)'!N98*$C98)),"n/a")</f>
        <v/>
      </c>
      <c r="P98" s="37">
        <f>IFERROR(IF(OR(ISTEXT('Capacity (MW)'!O98),'Capacity (MW)'!O98=0,ISTEXT('Generation (TWh)'!P98)),"n/a",'Generation (TWh)'!P98*1000000/('Capacity (MW)'!O98*$C98)),"n/a")</f>
        <v/>
      </c>
    </row>
    <row r="99" ht="15" customHeight="1" s="22">
      <c r="A99" s="31" t="n">
        <v>2023</v>
      </c>
      <c r="B99" s="31" t="n">
        <v>3</v>
      </c>
      <c r="C99" s="31" t="n">
        <v>2208</v>
      </c>
      <c r="D99" s="37">
        <f>IFERROR(IF(OR(ISTEXT('Capacity (MW)'!C99),'Capacity (MW)'!C99=0,ISTEXT('Generation (TWh)'!D99)),"n/a",'Generation (TWh)'!D99*1000000/('Capacity (MW)'!C99*$C99)),"n/a")</f>
        <v/>
      </c>
      <c r="E99" s="37">
        <f>IFERROR(IF(OR(ISTEXT('Capacity (MW)'!D99),'Capacity (MW)'!D99=0,ISTEXT('Generation (TWh)'!E99)),"n/a",'Generation (TWh)'!E99*1000000/('Capacity (MW)'!D99*$C99)),"n/a")</f>
        <v/>
      </c>
      <c r="F99" s="37">
        <f>IFERROR(IF(OR(ISTEXT('Capacity (MW)'!E99),'Capacity (MW)'!E99=0,ISTEXT('Generation (TWh)'!F99)),"n/a",'Generation (TWh)'!F99*1000000/('Capacity (MW)'!E99*$C99)),"n/a")</f>
        <v/>
      </c>
      <c r="G99" s="37">
        <f>IFERROR(IF(OR(ISTEXT('Capacity (MW)'!F99),'Capacity (MW)'!F99=0,ISTEXT('Generation (TWh)'!G99)),"n/a",'Generation (TWh)'!G99*1000000/('Capacity (MW)'!F99*$C99)),"n/a")</f>
        <v/>
      </c>
      <c r="H99" s="37">
        <f>IFERROR(IF(OR(ISTEXT('Capacity (MW)'!G99),'Capacity (MW)'!G99=0,ISTEXT('Generation (TWh)'!H99)),"n/a",'Generation (TWh)'!H99*1000000/('Capacity (MW)'!G99*$C99)),"n/a")</f>
        <v/>
      </c>
      <c r="I99" s="37">
        <f>IFERROR(IF(OR(ISTEXT('Capacity (MW)'!H99),'Capacity (MW)'!H99=0,ISTEXT('Generation (TWh)'!I99)),"n/a",'Generation (TWh)'!I99*1000000/('Capacity (MW)'!H99*$C99)),"n/a")</f>
        <v/>
      </c>
      <c r="J99" s="37">
        <f>IFERROR(IF(OR(ISTEXT('Capacity (MW)'!I99),'Capacity (MW)'!I99=0,ISTEXT('Generation (TWh)'!J99)),"n/a",'Generation (TWh)'!J99*1000000/('Capacity (MW)'!I99*$C99)),"n/a")</f>
        <v/>
      </c>
      <c r="K99" s="37">
        <f>IFERROR(IF(OR(ISTEXT('Capacity (MW)'!J99),'Capacity (MW)'!J99=0,ISTEXT('Generation (TWh)'!K99)),"n/a",'Generation (TWh)'!K99*1000000/('Capacity (MW)'!J99*$C99)),"n/a")</f>
        <v/>
      </c>
      <c r="L99" s="37">
        <f>IFERROR(IF(OR(ISTEXT('Capacity (MW)'!K99),'Capacity (MW)'!K99=0,ISTEXT('Generation (TWh)'!L99)),"n/a",'Generation (TWh)'!L99*1000000/('Capacity (MW)'!K99*$C99)),"n/a")</f>
        <v/>
      </c>
      <c r="M99" s="37">
        <f>IFERROR(IF(OR(ISTEXT('Capacity (MW)'!L99),'Capacity (MW)'!L99=0,ISTEXT('Generation (TWh)'!M99)),"n/a",'Generation (TWh)'!M99*1000000/('Capacity (MW)'!L99*$C99)),"n/a")</f>
        <v/>
      </c>
      <c r="N99" s="38">
        <f>IFERROR(IF(OR(ISTEXT('Capacity (MW)'!M99),'Capacity (MW)'!M99=0,ISTEXT('Generation (TWh)'!N99)),"n/a",'Generation (TWh)'!N99*1000000/('Capacity (MW)'!M99*$C99)),"n/a")</f>
        <v/>
      </c>
      <c r="O99" s="37">
        <f>IFERROR(IF(OR(ISTEXT('Capacity (MW)'!N99),'Capacity (MW)'!N99=0,ISTEXT('Generation (TWh)'!O99)),"n/a",'Generation (TWh)'!O99*1000000/('Capacity (MW)'!N99*$C99)),"n/a")</f>
        <v/>
      </c>
      <c r="P99" s="37">
        <f>IFERROR(IF(OR(ISTEXT('Capacity (MW)'!O99),'Capacity (MW)'!O99=0,ISTEXT('Generation (TWh)'!P99)),"n/a",'Generation (TWh)'!P99*1000000/('Capacity (MW)'!O99*$C99)),"n/a")</f>
        <v/>
      </c>
    </row>
    <row r="100" ht="15" customHeight="1" s="22">
      <c r="A100" s="31" t="n">
        <v>2023</v>
      </c>
      <c r="B100" s="31" t="n">
        <v>4</v>
      </c>
      <c r="C100" s="31" t="n">
        <v>2208</v>
      </c>
      <c r="D100" s="37">
        <f>IFERROR(IF(OR(ISTEXT('Capacity (MW)'!C100),'Capacity (MW)'!C100=0,ISTEXT('Generation (TWh)'!D100)),"n/a",'Generation (TWh)'!D100*1000000/('Capacity (MW)'!C100*$C100)),"n/a")</f>
        <v/>
      </c>
      <c r="E100" s="37">
        <f>IFERROR(IF(OR(ISTEXT('Capacity (MW)'!D100),'Capacity (MW)'!D100=0,ISTEXT('Generation (TWh)'!E100)),"n/a",'Generation (TWh)'!E100*1000000/('Capacity (MW)'!D100*$C100)),"n/a")</f>
        <v/>
      </c>
      <c r="F100" s="37">
        <f>IFERROR(IF(OR(ISTEXT('Capacity (MW)'!E100),'Capacity (MW)'!E100=0,ISTEXT('Generation (TWh)'!F100)),"n/a",'Generation (TWh)'!F100*1000000/('Capacity (MW)'!E100*$C100)),"n/a")</f>
        <v/>
      </c>
      <c r="G100" s="37">
        <f>IFERROR(IF(OR(ISTEXT('Capacity (MW)'!F100),'Capacity (MW)'!F100=0,ISTEXT('Generation (TWh)'!G100)),"n/a",'Generation (TWh)'!G100*1000000/('Capacity (MW)'!F100*$C100)),"n/a")</f>
        <v/>
      </c>
      <c r="H100" s="37">
        <f>IFERROR(IF(OR(ISTEXT('Capacity (MW)'!G100),'Capacity (MW)'!G100=0,ISTEXT('Generation (TWh)'!H100)),"n/a",'Generation (TWh)'!H100*1000000/('Capacity (MW)'!G100*$C100)),"n/a")</f>
        <v/>
      </c>
      <c r="I100" s="37">
        <f>IFERROR(IF(OR(ISTEXT('Capacity (MW)'!H100),'Capacity (MW)'!H100=0,ISTEXT('Generation (TWh)'!I100)),"n/a",'Generation (TWh)'!I100*1000000/('Capacity (MW)'!H100*$C100)),"n/a")</f>
        <v/>
      </c>
      <c r="J100" s="37">
        <f>IFERROR(IF(OR(ISTEXT('Capacity (MW)'!I100),'Capacity (MW)'!I100=0,ISTEXT('Generation (TWh)'!J100)),"n/a",'Generation (TWh)'!J100*1000000/('Capacity (MW)'!I100*$C100)),"n/a")</f>
        <v/>
      </c>
      <c r="K100" s="37">
        <f>IFERROR(IF(OR(ISTEXT('Capacity (MW)'!J100),'Capacity (MW)'!J100=0,ISTEXT('Generation (TWh)'!K100)),"n/a",'Generation (TWh)'!K100*1000000/('Capacity (MW)'!J100*$C100)),"n/a")</f>
        <v/>
      </c>
      <c r="L100" s="37">
        <f>IFERROR(IF(OR(ISTEXT('Capacity (MW)'!K100),'Capacity (MW)'!K100=0,ISTEXT('Generation (TWh)'!L100)),"n/a",'Generation (TWh)'!L100*1000000/('Capacity (MW)'!K100*$C100)),"n/a")</f>
        <v/>
      </c>
      <c r="M100" s="37">
        <f>IFERROR(IF(OR(ISTEXT('Capacity (MW)'!L100),'Capacity (MW)'!L100=0,ISTEXT('Generation (TWh)'!M100)),"n/a",'Generation (TWh)'!M100*1000000/('Capacity (MW)'!L100*$C100)),"n/a")</f>
        <v/>
      </c>
      <c r="N100" s="38">
        <f>IFERROR(IF(OR(ISTEXT('Capacity (MW)'!M100),'Capacity (MW)'!M100=0,ISTEXT('Generation (TWh)'!N100)),"n/a",'Generation (TWh)'!N100*1000000/('Capacity (MW)'!M100*$C100)),"n/a")</f>
        <v/>
      </c>
      <c r="O100" s="37">
        <f>IFERROR(IF(OR(ISTEXT('Capacity (MW)'!N100),'Capacity (MW)'!N100=0,ISTEXT('Generation (TWh)'!O100)),"n/a",'Generation (TWh)'!O100*1000000/('Capacity (MW)'!N100*$C100)),"n/a")</f>
        <v/>
      </c>
      <c r="P100" s="37">
        <f>IFERROR(IF(OR(ISTEXT('Capacity (MW)'!O100),'Capacity (MW)'!O100=0,ISTEXT('Generation (TWh)'!P100)),"n/a",'Generation (TWh)'!P100*1000000/('Capacity (MW)'!O100*$C100)),"n/a")</f>
        <v/>
      </c>
    </row>
    <row r="101" ht="15" customHeight="1" s="22">
      <c r="A101" s="31" t="n">
        <v>2024</v>
      </c>
      <c r="B101" s="31" t="n">
        <v>1</v>
      </c>
      <c r="C101" s="31" t="n">
        <v>2184</v>
      </c>
      <c r="D101" s="38">
        <f>IFERROR(IF(OR(ISTEXT('Capacity (MW)'!C101),'Capacity (MW)'!C101=0,ISTEXT('Generation (TWh)'!D101)),"n/a",'Generation (TWh)'!D101*1000000/('Capacity (MW)'!C101*$C101)),"n/a")</f>
        <v/>
      </c>
      <c r="E101" s="37">
        <f>IFERROR(IF(OR(ISTEXT('Capacity (MW)'!D101),'Capacity (MW)'!D101=0,ISTEXT('Generation (TWh)'!E101)),"n/a",'Generation (TWh)'!E101*1000000/('Capacity (MW)'!D101*$C101)),"n/a")</f>
        <v/>
      </c>
      <c r="F101" s="37">
        <f>IFERROR(IF(OR(ISTEXT('Capacity (MW)'!E101),'Capacity (MW)'!E101=0,ISTEXT('Generation (TWh)'!F101)),"n/a",'Generation (TWh)'!F101*1000000/('Capacity (MW)'!E101*$C101)),"n/a")</f>
        <v/>
      </c>
      <c r="G101" s="37">
        <f>IFERROR(IF(OR(ISTEXT('Capacity (MW)'!F101),'Capacity (MW)'!F101=0,ISTEXT('Generation (TWh)'!G101)),"n/a",'Generation (TWh)'!G101*1000000/('Capacity (MW)'!F101*$C101)),"n/a")</f>
        <v/>
      </c>
      <c r="H101" s="37">
        <f>IFERROR(IF(OR(ISTEXT('Capacity (MW)'!G101),'Capacity (MW)'!G101=0,ISTEXT('Generation (TWh)'!H101)),"n/a",'Generation (TWh)'!H101*1000000/('Capacity (MW)'!G101*$C101)),"n/a")</f>
        <v/>
      </c>
      <c r="I101" s="37">
        <f>IFERROR(IF(OR(ISTEXT('Capacity (MW)'!H101),'Capacity (MW)'!H101=0,ISTEXT('Generation (TWh)'!I101)),"n/a",'Generation (TWh)'!I101*1000000/('Capacity (MW)'!H101*$C101)),"n/a")</f>
        <v/>
      </c>
      <c r="J101" s="37">
        <f>IFERROR(IF(OR(ISTEXT('Capacity (MW)'!I101),'Capacity (MW)'!I101=0,ISTEXT('Generation (TWh)'!J101)),"n/a",'Generation (TWh)'!J101*1000000/('Capacity (MW)'!I101*$C101)),"n/a")</f>
        <v/>
      </c>
      <c r="K101" s="37">
        <f>IFERROR(IF(OR(ISTEXT('Capacity (MW)'!J101),'Capacity (MW)'!J101=0,ISTEXT('Generation (TWh)'!K101)),"n/a",'Generation (TWh)'!K101*1000000/('Capacity (MW)'!J101*$C101)),"n/a")</f>
        <v/>
      </c>
      <c r="L101" s="37">
        <f>IFERROR(IF(OR(ISTEXT('Capacity (MW)'!K101),'Capacity (MW)'!K101=0,ISTEXT('Generation (TWh)'!L101)),"n/a",'Generation (TWh)'!L101*1000000/('Capacity (MW)'!K101*$C101)),"n/a")</f>
        <v/>
      </c>
      <c r="M101" s="37">
        <f>IFERROR(IF(OR(ISTEXT('Capacity (MW)'!L101),'Capacity (MW)'!L101=0,ISTEXT('Generation (TWh)'!M101)),"n/a",'Generation (TWh)'!M101*1000000/('Capacity (MW)'!L101*$C101)),"n/a")</f>
        <v/>
      </c>
      <c r="N101" s="38">
        <f>IFERROR(IF(OR(ISTEXT('Capacity (MW)'!M101),'Capacity (MW)'!M101=0,ISTEXT('Generation (TWh)'!N101)),"n/a",'Generation (TWh)'!N101*1000000/('Capacity (MW)'!M101*$C101)),"n/a")</f>
        <v/>
      </c>
      <c r="O101" s="37">
        <f>IFERROR(IF(OR(ISTEXT('Capacity (MW)'!N101),'Capacity (MW)'!N101=0,ISTEXT('Generation (TWh)'!O101)),"n/a",'Generation (TWh)'!O101*1000000/('Capacity (MW)'!N101*$C101)),"n/a")</f>
        <v/>
      </c>
      <c r="P101" s="37">
        <f>IFERROR(IF(OR(ISTEXT('Capacity (MW)'!O101),'Capacity (MW)'!O101=0,ISTEXT('Generation (TWh)'!P101)),"n/a",'Generation (TWh)'!P101*1000000/('Capacity (MW)'!O101*$C101)),"n/a")</f>
        <v/>
      </c>
    </row>
    <row r="102" ht="15" customHeight="1" s="22">
      <c r="A102" s="31" t="n">
        <v>2024</v>
      </c>
      <c r="B102" s="31" t="n">
        <v>2</v>
      </c>
      <c r="C102" s="31" t="n">
        <v>2184</v>
      </c>
      <c r="D102" s="38">
        <f>IFERROR(IF(OR(ISTEXT('Capacity (MW)'!C102),'Capacity (MW)'!C102=0,ISTEXT('Generation (TWh)'!D102)),"n/a",'Generation (TWh)'!D102*1000000/('Capacity (MW)'!C102*$C102)),"n/a")</f>
        <v/>
      </c>
      <c r="E102" s="37">
        <f>IFERROR(IF(OR(ISTEXT('Capacity (MW)'!D102),'Capacity (MW)'!D102=0,ISTEXT('Generation (TWh)'!E102)),"n/a",'Generation (TWh)'!E102*1000000/('Capacity (MW)'!D102*$C102)),"n/a")</f>
        <v/>
      </c>
      <c r="F102" s="37">
        <f>IFERROR(IF(OR(ISTEXT('Capacity (MW)'!E102),'Capacity (MW)'!E102=0,ISTEXT('Generation (TWh)'!F102)),"n/a",'Generation (TWh)'!F102*1000000/('Capacity (MW)'!E102*$C102)),"n/a")</f>
        <v/>
      </c>
      <c r="G102" s="37">
        <f>IFERROR(IF(OR(ISTEXT('Capacity (MW)'!F102),'Capacity (MW)'!F102=0,ISTEXT('Generation (TWh)'!G102)),"n/a",'Generation (TWh)'!G102*1000000/('Capacity (MW)'!F102*$C102)),"n/a")</f>
        <v/>
      </c>
      <c r="H102" s="37">
        <f>IFERROR(IF(OR(ISTEXT('Capacity (MW)'!G102),'Capacity (MW)'!G102=0,ISTEXT('Generation (TWh)'!H102)),"n/a",'Generation (TWh)'!H102*1000000/('Capacity (MW)'!G102*$C102)),"n/a")</f>
        <v/>
      </c>
      <c r="I102" s="37">
        <f>IFERROR(IF(OR(ISTEXT('Capacity (MW)'!H102),'Capacity (MW)'!H102=0,ISTEXT('Generation (TWh)'!I102)),"n/a",'Generation (TWh)'!I102*1000000/('Capacity (MW)'!H102*$C102)),"n/a")</f>
        <v/>
      </c>
      <c r="J102" s="37">
        <f>IFERROR(IF(OR(ISTEXT('Capacity (MW)'!I102),'Capacity (MW)'!I102=0,ISTEXT('Generation (TWh)'!J102)),"n/a",'Generation (TWh)'!J102*1000000/('Capacity (MW)'!I102*$C102)),"n/a")</f>
        <v/>
      </c>
      <c r="K102" s="37">
        <f>IFERROR(IF(OR(ISTEXT('Capacity (MW)'!J102),'Capacity (MW)'!J102=0,ISTEXT('Generation (TWh)'!K102)),"n/a",'Generation (TWh)'!K102*1000000/('Capacity (MW)'!J102*$C102)),"n/a")</f>
        <v/>
      </c>
      <c r="L102" s="37">
        <f>IFERROR(IF(OR(ISTEXT('Capacity (MW)'!K102),'Capacity (MW)'!K102=0,ISTEXT('Generation (TWh)'!L102)),"n/a",'Generation (TWh)'!L102*1000000/('Capacity (MW)'!K102*$C102)),"n/a")</f>
        <v/>
      </c>
      <c r="M102" s="37">
        <f>IFERROR(IF(OR(ISTEXT('Capacity (MW)'!L102),'Capacity (MW)'!L102=0,ISTEXT('Generation (TWh)'!M102)),"n/a",'Generation (TWh)'!M102*1000000/('Capacity (MW)'!L102*$C102)),"n/a")</f>
        <v/>
      </c>
      <c r="N102" s="38">
        <f>IFERROR(IF(OR(ISTEXT('Capacity (MW)'!M102),'Capacity (MW)'!M102=0,ISTEXT('Generation (TWh)'!N102)),"n/a",'Generation (TWh)'!N102*1000000/('Capacity (MW)'!M102*$C102)),"n/a")</f>
        <v/>
      </c>
      <c r="O102" s="37">
        <f>IFERROR(IF(OR(ISTEXT('Capacity (MW)'!N102),'Capacity (MW)'!N102=0,ISTEXT('Generation (TWh)'!O102)),"n/a",'Generation (TWh)'!O102*1000000/('Capacity (MW)'!N102*$C102)),"n/a")</f>
        <v/>
      </c>
      <c r="P102" s="37">
        <f>IFERROR(IF(OR(ISTEXT('Capacity (MW)'!O102),'Capacity (MW)'!O102=0,ISTEXT('Generation (TWh)'!P102)),"n/a",'Generation (TWh)'!P102*1000000/('Capacity (MW)'!O102*$C102)),"n/a")</f>
        <v/>
      </c>
    </row>
    <row r="103" ht="15" customHeight="1" s="22">
      <c r="A103" s="31" t="n">
        <v>2024</v>
      </c>
      <c r="B103" s="31" t="n">
        <v>3</v>
      </c>
      <c r="C103" s="31" t="n">
        <v>2208</v>
      </c>
      <c r="D103" s="38">
        <f>IFERROR(IF(OR(ISTEXT('Capacity (MW)'!C103),'Capacity (MW)'!C103=0,ISTEXT('Generation (TWh)'!D103)),"n/a",'Generation (TWh)'!D103*1000000/('Capacity (MW)'!C103*$C103)),"n/a")</f>
        <v/>
      </c>
      <c r="E103" s="37">
        <f>IFERROR(IF(OR(ISTEXT('Capacity (MW)'!D103),'Capacity (MW)'!D103=0,ISTEXT('Generation (TWh)'!E103)),"n/a",'Generation (TWh)'!E103*1000000/('Capacity (MW)'!D103*$C103)),"n/a")</f>
        <v/>
      </c>
      <c r="F103" s="37">
        <f>IFERROR(IF(OR(ISTEXT('Capacity (MW)'!E103),'Capacity (MW)'!E103=0,ISTEXT('Generation (TWh)'!F103)),"n/a",'Generation (TWh)'!F103*1000000/('Capacity (MW)'!E103*$C103)),"n/a")</f>
        <v/>
      </c>
      <c r="G103" s="37">
        <f>IFERROR(IF(OR(ISTEXT('Capacity (MW)'!F103),'Capacity (MW)'!F103=0,ISTEXT('Generation (TWh)'!G103)),"n/a",'Generation (TWh)'!G103*1000000/('Capacity (MW)'!F103*$C103)),"n/a")</f>
        <v/>
      </c>
      <c r="H103" s="37">
        <f>IFERROR(IF(OR(ISTEXT('Capacity (MW)'!G103),'Capacity (MW)'!G103=0,ISTEXT('Generation (TWh)'!H103)),"n/a",'Generation (TWh)'!H103*1000000/('Capacity (MW)'!G103*$C103)),"n/a")</f>
        <v/>
      </c>
      <c r="I103" s="37">
        <f>IFERROR(IF(OR(ISTEXT('Capacity (MW)'!H103),'Capacity (MW)'!H103=0,ISTEXT('Generation (TWh)'!I103)),"n/a",'Generation (TWh)'!I103*1000000/('Capacity (MW)'!H103*$C103)),"n/a")</f>
        <v/>
      </c>
      <c r="J103" s="37">
        <f>IFERROR(IF(OR(ISTEXT('Capacity (MW)'!I103),'Capacity (MW)'!I103=0,ISTEXT('Generation (TWh)'!J103)),"n/a",'Generation (TWh)'!J103*1000000/('Capacity (MW)'!I103*$C103)),"n/a")</f>
        <v/>
      </c>
      <c r="K103" s="37">
        <f>IFERROR(IF(OR(ISTEXT('Capacity (MW)'!J103),'Capacity (MW)'!J103=0,ISTEXT('Generation (TWh)'!K103)),"n/a",'Generation (TWh)'!K103*1000000/('Capacity (MW)'!J103*$C103)),"n/a")</f>
        <v/>
      </c>
      <c r="L103" s="37">
        <f>IFERROR(IF(OR(ISTEXT('Capacity (MW)'!K103),'Capacity (MW)'!K103=0,ISTEXT('Generation (TWh)'!L103)),"n/a",'Generation (TWh)'!L103*1000000/('Capacity (MW)'!K103*$C103)),"n/a")</f>
        <v/>
      </c>
      <c r="M103" s="37">
        <f>IFERROR(IF(OR(ISTEXT('Capacity (MW)'!L103),'Capacity (MW)'!L103=0,ISTEXT('Generation (TWh)'!M103)),"n/a",'Generation (TWh)'!M103*1000000/('Capacity (MW)'!L103*$C103)),"n/a")</f>
        <v/>
      </c>
      <c r="N103" s="38">
        <f>IFERROR(IF(OR(ISTEXT('Capacity (MW)'!M103),'Capacity (MW)'!M103=0,ISTEXT('Generation (TWh)'!N103)),"n/a",'Generation (TWh)'!N103*1000000/('Capacity (MW)'!M103*$C103)),"n/a")</f>
        <v/>
      </c>
      <c r="O103" s="37">
        <f>IFERROR(IF(OR(ISTEXT('Capacity (MW)'!N103),'Capacity (MW)'!N103=0,ISTEXT('Generation (TWh)'!O103)),"n/a",'Generation (TWh)'!O103*1000000/('Capacity (MW)'!N103*$C103)),"n/a")</f>
        <v/>
      </c>
      <c r="P103" s="37">
        <f>IFERROR(IF(OR(ISTEXT('Capacity (MW)'!O103),'Capacity (MW)'!O103=0,ISTEXT('Generation (TWh)'!P103)),"n/a",'Generation (TWh)'!P103*1000000/('Capacity (MW)'!O103*$C103)),"n/a")</f>
        <v/>
      </c>
    </row>
    <row r="104" ht="15" customHeight="1" s="22">
      <c r="A104" s="31" t="n">
        <v>2024</v>
      </c>
      <c r="B104" s="31" t="n">
        <v>4</v>
      </c>
      <c r="C104" s="31" t="n">
        <v>2208</v>
      </c>
      <c r="D104" s="38">
        <f>IFERROR(IF(OR(ISTEXT('Capacity (MW)'!C104),'Capacity (MW)'!C104=0,ISTEXT('Generation (TWh)'!D104)),"n/a",'Generation (TWh)'!D104*1000000/('Capacity (MW)'!C104*$C104)),"n/a")</f>
        <v/>
      </c>
      <c r="E104" s="37">
        <f>IFERROR(IF(OR(ISTEXT('Capacity (MW)'!D104),'Capacity (MW)'!D104=0,ISTEXT('Generation (TWh)'!E104)),"n/a",'Generation (TWh)'!E104*1000000/('Capacity (MW)'!D104*$C104)),"n/a")</f>
        <v/>
      </c>
      <c r="F104" s="37">
        <f>IFERROR(IF(OR(ISTEXT('Capacity (MW)'!E104),'Capacity (MW)'!E104=0,ISTEXT('Generation (TWh)'!F104)),"n/a",'Generation (TWh)'!F104*1000000/('Capacity (MW)'!E104*$C104)),"n/a")</f>
        <v/>
      </c>
      <c r="G104" s="37">
        <f>IFERROR(IF(OR(ISTEXT('Capacity (MW)'!F104),'Capacity (MW)'!F104=0,ISTEXT('Generation (TWh)'!G104)),"n/a",'Generation (TWh)'!G104*1000000/('Capacity (MW)'!F104*$C104)),"n/a")</f>
        <v/>
      </c>
      <c r="H104" s="37">
        <f>IFERROR(IF(OR(ISTEXT('Capacity (MW)'!G104),'Capacity (MW)'!G104=0,ISTEXT('Generation (TWh)'!H104)),"n/a",'Generation (TWh)'!H104*1000000/('Capacity (MW)'!G104*$C104)),"n/a")</f>
        <v/>
      </c>
      <c r="I104" s="37">
        <f>IFERROR(IF(OR(ISTEXT('Capacity (MW)'!H104),'Capacity (MW)'!H104=0,ISTEXT('Generation (TWh)'!I104)),"n/a",'Generation (TWh)'!I104*1000000/('Capacity (MW)'!H104*$C104)),"n/a")</f>
        <v/>
      </c>
      <c r="J104" s="37">
        <f>IFERROR(IF(OR(ISTEXT('Capacity (MW)'!I104),'Capacity (MW)'!I104=0,ISTEXT('Generation (TWh)'!J104)),"n/a",'Generation (TWh)'!J104*1000000/('Capacity (MW)'!I104*$C104)),"n/a")</f>
        <v/>
      </c>
      <c r="K104" s="37">
        <f>IFERROR(IF(OR(ISTEXT('Capacity (MW)'!J104),'Capacity (MW)'!J104=0,ISTEXT('Generation (TWh)'!K104)),"n/a",'Generation (TWh)'!K104*1000000/('Capacity (MW)'!J104*$C104)),"n/a")</f>
        <v/>
      </c>
      <c r="L104" s="37">
        <f>IFERROR(IF(OR(ISTEXT('Capacity (MW)'!K104),'Capacity (MW)'!K104=0,ISTEXT('Generation (TWh)'!L104)),"n/a",'Generation (TWh)'!L104*1000000/('Capacity (MW)'!K104*$C104)),"n/a")</f>
        <v/>
      </c>
      <c r="M104" s="37">
        <f>IFERROR(IF(OR(ISTEXT('Capacity (MW)'!L104),'Capacity (MW)'!L104=0,ISTEXT('Generation (TWh)'!M104)),"n/a",'Generation (TWh)'!M104*1000000/('Capacity (MW)'!L104*$C104)),"n/a")</f>
        <v/>
      </c>
      <c r="N104" s="38">
        <f>IFERROR(IF(OR(ISTEXT('Capacity (MW)'!M104),'Capacity (MW)'!M104=0,ISTEXT('Generation (TWh)'!N104)),"n/a",'Generation (TWh)'!N104*1000000/('Capacity (MW)'!M104*$C104)),"n/a")</f>
        <v/>
      </c>
      <c r="O104" s="37">
        <f>IFERROR(IF(OR(ISTEXT('Capacity (MW)'!N104),'Capacity (MW)'!N104=0,ISTEXT('Generation (TWh)'!O104)),"n/a",'Generation (TWh)'!O104*1000000/('Capacity (MW)'!N104*$C104)),"n/a")</f>
        <v/>
      </c>
      <c r="P104" s="37">
        <f>IFERROR(IF(OR(ISTEXT('Capacity (MW)'!O104),'Capacity (MW)'!O104=0,ISTEXT('Generation (TWh)'!P104)),"n/a",'Generation (TWh)'!P104*1000000/('Capacity (MW)'!O104*$C104)),"n/a")</f>
        <v/>
      </c>
    </row>
    <row r="105" ht="15" customHeight="1" s="22">
      <c r="A105" s="31" t="n">
        <v>2025</v>
      </c>
      <c r="B105" s="31" t="n">
        <v>1</v>
      </c>
      <c r="C105" s="31" t="n">
        <v>2160</v>
      </c>
      <c r="D105" s="37">
        <f>IFERROR(IF(OR(ISTEXT('Capacity (MW)'!C105),'Capacity (MW)'!C105=0,ISTEXT('Generation (TWh)'!D105)),"n/a",'Generation (TWh)'!D105*1000000/('Capacity (MW)'!C105*$C105)),"n/a")</f>
        <v/>
      </c>
      <c r="E105" s="37">
        <f>IFERROR(IF(OR(ISTEXT('Capacity (MW)'!D105),'Capacity (MW)'!D105=0,ISTEXT('Generation (TWh)'!E105)),"n/a",'Generation (TWh)'!E105*1000000/('Capacity (MW)'!D105*$C105)),"n/a")</f>
        <v/>
      </c>
      <c r="F105" s="37">
        <f>IFERROR(IF(OR(ISTEXT('Capacity (MW)'!E105),'Capacity (MW)'!E105=0,ISTEXT('Generation (TWh)'!F105)),"n/a",'Generation (TWh)'!F105*1000000/('Capacity (MW)'!E105*$C105)),"n/a")</f>
        <v/>
      </c>
      <c r="G105" s="37">
        <f>IFERROR(IF(OR(ISTEXT('Capacity (MW)'!F105),'Capacity (MW)'!F105=0,ISTEXT('Generation (TWh)'!G105)),"n/a",'Generation (TWh)'!G105*1000000/('Capacity (MW)'!F105*$C105)),"n/a")</f>
        <v/>
      </c>
      <c r="H105" s="37">
        <f>IFERROR(IF(OR(ISTEXT('Capacity (MW)'!G105),'Capacity (MW)'!G105=0,ISTEXT('Generation (TWh)'!H105)),"n/a",'Generation (TWh)'!H105*1000000/('Capacity (MW)'!G105*$C105)),"n/a")</f>
        <v/>
      </c>
      <c r="I105" s="37">
        <f>IFERROR(IF(OR(ISTEXT('Capacity (MW)'!H105),'Capacity (MW)'!H105=0,ISTEXT('Generation (TWh)'!I105)),"n/a",'Generation (TWh)'!I105*1000000/('Capacity (MW)'!H105*$C105)),"n/a")</f>
        <v/>
      </c>
      <c r="J105" s="37">
        <f>IFERROR(IF(OR(ISTEXT('Capacity (MW)'!I105),'Capacity (MW)'!I105=0,ISTEXT('Generation (TWh)'!J105)),"n/a",'Generation (TWh)'!J105*1000000/('Capacity (MW)'!I105*$C105)),"n/a")</f>
        <v/>
      </c>
      <c r="K105" s="37">
        <f>IFERROR(IF(OR(ISTEXT('Capacity (MW)'!J105),'Capacity (MW)'!J105=0,ISTEXT('Generation (TWh)'!K105)),"n/a",'Generation (TWh)'!K105*1000000/('Capacity (MW)'!J105*$C105)),"n/a")</f>
        <v/>
      </c>
      <c r="L105" s="37">
        <f>IFERROR(IF(OR(ISTEXT('Capacity (MW)'!K105),'Capacity (MW)'!K105=0,ISTEXT('Generation (TWh)'!L105)),"n/a",'Generation (TWh)'!L105*1000000/('Capacity (MW)'!K105*$C105)),"n/a")</f>
        <v/>
      </c>
      <c r="M105" s="37">
        <f>IFERROR(IF(OR(ISTEXT('Capacity (MW)'!L105),'Capacity (MW)'!L105=0,ISTEXT('Generation (TWh)'!M105)),"n/a",'Generation (TWh)'!M105*1000000/('Capacity (MW)'!L105*$C105)),"n/a")</f>
        <v/>
      </c>
      <c r="N105" s="38">
        <f>IFERROR(IF(OR(ISTEXT('Capacity (MW)'!M105),'Capacity (MW)'!M105=0,ISTEXT('Generation (TWh)'!N105)),"n/a",'Generation (TWh)'!N105*1000000/('Capacity (MW)'!M105*$C105)),"n/a")</f>
        <v/>
      </c>
      <c r="O105" s="37">
        <f>IFERROR(IF(OR(ISTEXT('Capacity (MW)'!N105),'Capacity (MW)'!N105=0,ISTEXT('Generation (TWh)'!O105)),"n/a",'Generation (TWh)'!O105*1000000/('Capacity (MW)'!N105*$C105)),"n/a")</f>
        <v/>
      </c>
      <c r="P105" s="37">
        <f>IFERROR(IF(OR(ISTEXT('Capacity (MW)'!O105),'Capacity (MW)'!O105=0,ISTEXT('Generation (TWh)'!P105)),"n/a",'Generation (TWh)'!P105*1000000/('Capacity (MW)'!O105*$C105)),"n/a")</f>
        <v/>
      </c>
    </row>
    <row r="106" ht="15" customHeight="1" s="22">
      <c r="A106" s="31" t="n">
        <v>2025</v>
      </c>
      <c r="B106" s="31" t="n">
        <v>2</v>
      </c>
      <c r="C106" s="31" t="n">
        <v>2184</v>
      </c>
      <c r="D106" s="37">
        <f>IFERROR(IF(OR(ISTEXT('Capacity (MW)'!C106),'Capacity (MW)'!C106=0,ISTEXT('Generation (TWh)'!D106)),"n/a",'Generation (TWh)'!D106*1000000/('Capacity (MW)'!C106*$C106)),"n/a")</f>
        <v/>
      </c>
      <c r="E106" s="37">
        <f>IFERROR(IF(OR(ISTEXT('Capacity (MW)'!D106),'Capacity (MW)'!D106=0,ISTEXT('Generation (TWh)'!E106)),"n/a",'Generation (TWh)'!E106*1000000/('Capacity (MW)'!D106*$C106)),"n/a")</f>
        <v/>
      </c>
      <c r="F106" s="37">
        <f>IFERROR(IF(OR(ISTEXT('Capacity (MW)'!E106),'Capacity (MW)'!E106=0,ISTEXT('Generation (TWh)'!F106)),"n/a",'Generation (TWh)'!F106*1000000/('Capacity (MW)'!E106*$C106)),"n/a")</f>
        <v/>
      </c>
      <c r="G106" s="37">
        <f>IFERROR(IF(OR(ISTEXT('Capacity (MW)'!F106),'Capacity (MW)'!F106=0,ISTEXT('Generation (TWh)'!G106)),"n/a",'Generation (TWh)'!G106*1000000/('Capacity (MW)'!F106*$C106)),"n/a")</f>
        <v/>
      </c>
      <c r="H106" s="37">
        <f>IFERROR(IF(OR(ISTEXT('Capacity (MW)'!G106),'Capacity (MW)'!G106=0,ISTEXT('Generation (TWh)'!H106)),"n/a",'Generation (TWh)'!H106*1000000/('Capacity (MW)'!G106*$C106)),"n/a")</f>
        <v/>
      </c>
      <c r="I106" s="37">
        <f>IFERROR(IF(OR(ISTEXT('Capacity (MW)'!H106),'Capacity (MW)'!H106=0,ISTEXT('Generation (TWh)'!I106)),"n/a",'Generation (TWh)'!I106*1000000/('Capacity (MW)'!H106*$C106)),"n/a")</f>
        <v/>
      </c>
      <c r="J106" s="37">
        <f>IFERROR(IF(OR(ISTEXT('Capacity (MW)'!I106),'Capacity (MW)'!I106=0,ISTEXT('Generation (TWh)'!J106)),"n/a",'Generation (TWh)'!J106*1000000/('Capacity (MW)'!I106*$C106)),"n/a")</f>
        <v/>
      </c>
      <c r="K106" s="37">
        <f>IFERROR(IF(OR(ISTEXT('Capacity (MW)'!J106),'Capacity (MW)'!J106=0,ISTEXT('Generation (TWh)'!K106)),"n/a",'Generation (TWh)'!K106*1000000/('Capacity (MW)'!J106*$C106)),"n/a")</f>
        <v/>
      </c>
      <c r="L106" s="37">
        <f>IFERROR(IF(OR(ISTEXT('Capacity (MW)'!K106),'Capacity (MW)'!K106=0,ISTEXT('Generation (TWh)'!L106)),"n/a",'Generation (TWh)'!L106*1000000/('Capacity (MW)'!K106*$C106)),"n/a")</f>
        <v/>
      </c>
      <c r="M106" s="37">
        <f>IFERROR(IF(OR(ISTEXT('Capacity (MW)'!L106),'Capacity (MW)'!L106=0,ISTEXT('Generation (TWh)'!M106)),"n/a",'Generation (TWh)'!M106*1000000/('Capacity (MW)'!L106*$C106)),"n/a")</f>
        <v/>
      </c>
      <c r="N106" s="38">
        <f>IFERROR(IF(OR(ISTEXT('Capacity (MW)'!M106),'Capacity (MW)'!M106=0,ISTEXT('Generation (TWh)'!N106)),"n/a",'Generation (TWh)'!N106*1000000/('Capacity (MW)'!M106*$C106)),"n/a")</f>
        <v/>
      </c>
      <c r="O106" s="37">
        <f>IFERROR(IF(OR(ISTEXT('Capacity (MW)'!N106),'Capacity (MW)'!N106=0,ISTEXT('Generation (TWh)'!O106)),"n/a",'Generation (TWh)'!O106*1000000/('Capacity (MW)'!N106*$C106)),"n/a")</f>
        <v/>
      </c>
      <c r="P106" s="37">
        <f>IFERROR(IF(OR(ISTEXT('Capacity (MW)'!O106),'Capacity (MW)'!O106=0,ISTEXT('Generation (TWh)'!P106)),"n/a",'Generation (TWh)'!P106*1000000/('Capacity (MW)'!O106*$C106)),"n/a")</f>
        <v/>
      </c>
    </row>
    <row r="107" ht="15" customHeight="1" s="22">
      <c r="A107" s="31" t="n">
        <v>2025</v>
      </c>
      <c r="B107" s="31" t="n">
        <v>3</v>
      </c>
      <c r="C107" s="31" t="n">
        <v>2208</v>
      </c>
      <c r="D107" s="37">
        <f>IFERROR(IF(OR(ISTEXT('Capacity (MW)'!C107),'Capacity (MW)'!C107=0,ISTEXT('Generation (TWh)'!D107)),"n/a",'Generation (TWh)'!D107*1000000/('Capacity (MW)'!C107*$C107)),"n/a")</f>
        <v/>
      </c>
      <c r="E107" s="37">
        <f>IFERROR(IF(OR(ISTEXT('Capacity (MW)'!D107),'Capacity (MW)'!D107=0,ISTEXT('Generation (TWh)'!E107)),"n/a",'Generation (TWh)'!E107*1000000/('Capacity (MW)'!D107*$C107)),"n/a")</f>
        <v/>
      </c>
      <c r="F107" s="37">
        <f>IFERROR(IF(OR(ISTEXT('Capacity (MW)'!E107),'Capacity (MW)'!E107=0,ISTEXT('Generation (TWh)'!F107)),"n/a",'Generation (TWh)'!F107*1000000/('Capacity (MW)'!E107*$C107)),"n/a")</f>
        <v/>
      </c>
      <c r="G107" s="37">
        <f>IFERROR(IF(OR(ISTEXT('Capacity (MW)'!F107),'Capacity (MW)'!F107=0,ISTEXT('Generation (TWh)'!G107)),"n/a",'Generation (TWh)'!G107*1000000/('Capacity (MW)'!F107*$C107)),"n/a")</f>
        <v/>
      </c>
      <c r="H107" s="37">
        <f>IFERROR(IF(OR(ISTEXT('Capacity (MW)'!G107),'Capacity (MW)'!G107=0,ISTEXT('Generation (TWh)'!H107)),"n/a",'Generation (TWh)'!H107*1000000/('Capacity (MW)'!G107*$C107)),"n/a")</f>
        <v/>
      </c>
      <c r="I107" s="37">
        <f>IFERROR(IF(OR(ISTEXT('Capacity (MW)'!H107),'Capacity (MW)'!H107=0,ISTEXT('Generation (TWh)'!I107)),"n/a",'Generation (TWh)'!I107*1000000/('Capacity (MW)'!H107*$C107)),"n/a")</f>
        <v/>
      </c>
      <c r="J107" s="37">
        <f>IFERROR(IF(OR(ISTEXT('Capacity (MW)'!I107),'Capacity (MW)'!I107=0,ISTEXT('Generation (TWh)'!J107)),"n/a",'Generation (TWh)'!J107*1000000/('Capacity (MW)'!I107*$C107)),"n/a")</f>
        <v/>
      </c>
      <c r="K107" s="37">
        <f>IFERROR(IF(OR(ISTEXT('Capacity (MW)'!J107),'Capacity (MW)'!J107=0,ISTEXT('Generation (TWh)'!K107)),"n/a",'Generation (TWh)'!K107*1000000/('Capacity (MW)'!J107*$C107)),"n/a")</f>
        <v/>
      </c>
      <c r="L107" s="37">
        <f>IFERROR(IF(OR(ISTEXT('Capacity (MW)'!K107),'Capacity (MW)'!K107=0,ISTEXT('Generation (TWh)'!L107)),"n/a",'Generation (TWh)'!L107*1000000/('Capacity (MW)'!K107*$C107)),"n/a")</f>
        <v/>
      </c>
      <c r="M107" s="37">
        <f>IFERROR(IF(OR(ISTEXT('Capacity (MW)'!L107),'Capacity (MW)'!L107=0,ISTEXT('Generation (TWh)'!M107)),"n/a",'Generation (TWh)'!M107*1000000/('Capacity (MW)'!L107*$C107)),"n/a")</f>
        <v/>
      </c>
      <c r="N107" s="38">
        <f>IFERROR(IF(OR(ISTEXT('Capacity (MW)'!M107),'Capacity (MW)'!M107=0,ISTEXT('Generation (TWh)'!N107)),"n/a",'Generation (TWh)'!N107*1000000/('Capacity (MW)'!M107*$C107)),"n/a")</f>
        <v/>
      </c>
      <c r="O107" s="37">
        <f>IFERROR(IF(OR(ISTEXT('Capacity (MW)'!N107),'Capacity (MW)'!N107=0,ISTEXT('Generation (TWh)'!O107)),"n/a",'Generation (TWh)'!O107*1000000/('Capacity (MW)'!N107*$C107)),"n/a")</f>
        <v/>
      </c>
      <c r="P107" s="37">
        <f>IFERROR(IF(OR(ISTEXT('Capacity (MW)'!O107),'Capacity (MW)'!O107=0,ISTEXT('Generation (TWh)'!P107)),"n/a",'Generation (TWh)'!P107*1000000/('Capacity (MW)'!O107*$C107)),"n/a")</f>
        <v/>
      </c>
    </row>
    <row r="108" ht="15" customHeight="1" s="22">
      <c r="A108" s="31" t="n">
        <v>2025</v>
      </c>
      <c r="B108" s="31" t="n">
        <v>4</v>
      </c>
      <c r="C108" s="31" t="n">
        <v>2208</v>
      </c>
      <c r="D108" s="37">
        <f>IFERROR(IF(OR(ISTEXT('Capacity (MW)'!C108),'Capacity (MW)'!C108=0,ISTEXT('Generation (TWh)'!D108)),"n/a",'Generation (TWh)'!D108*1000000/('Capacity (MW)'!C108*$C108)),"n/a")</f>
        <v/>
      </c>
      <c r="E108" s="37">
        <f>IFERROR(IF(OR(ISTEXT('Capacity (MW)'!D108),'Capacity (MW)'!D108=0,ISTEXT('Generation (TWh)'!E108)),"n/a",'Generation (TWh)'!E108*1000000/('Capacity (MW)'!D108*$C108)),"n/a")</f>
        <v/>
      </c>
      <c r="F108" s="37">
        <f>IFERROR(IF(OR(ISTEXT('Capacity (MW)'!E108),'Capacity (MW)'!E108=0,ISTEXT('Generation (TWh)'!F108)),"n/a",'Generation (TWh)'!F108*1000000/('Capacity (MW)'!E108*$C108)),"n/a")</f>
        <v/>
      </c>
      <c r="G108" s="37">
        <f>IFERROR(IF(OR(ISTEXT('Capacity (MW)'!F108),'Capacity (MW)'!F108=0,ISTEXT('Generation (TWh)'!G108)),"n/a",'Generation (TWh)'!G108*1000000/('Capacity (MW)'!F108*$C108)),"n/a")</f>
        <v/>
      </c>
      <c r="H108" s="37">
        <f>IFERROR(IF(OR(ISTEXT('Capacity (MW)'!G108),'Capacity (MW)'!G108=0,ISTEXT('Generation (TWh)'!H108)),"n/a",'Generation (TWh)'!H108*1000000/('Capacity (MW)'!G108*$C108)),"n/a")</f>
        <v/>
      </c>
      <c r="I108" s="37">
        <f>IFERROR(IF(OR(ISTEXT('Capacity (MW)'!H108),'Capacity (MW)'!H108=0,ISTEXT('Generation (TWh)'!I108)),"n/a",'Generation (TWh)'!I108*1000000/('Capacity (MW)'!H108*$C108)),"n/a")</f>
        <v/>
      </c>
      <c r="J108" s="37">
        <f>IFERROR(IF(OR(ISTEXT('Capacity (MW)'!I108),'Capacity (MW)'!I108=0,ISTEXT('Generation (TWh)'!J108)),"n/a",'Generation (TWh)'!J108*1000000/('Capacity (MW)'!I108*$C108)),"n/a")</f>
        <v/>
      </c>
      <c r="K108" s="37">
        <f>IFERROR(IF(OR(ISTEXT('Capacity (MW)'!J108),'Capacity (MW)'!J108=0,ISTEXT('Generation (TWh)'!K108)),"n/a",'Generation (TWh)'!K108*1000000/('Capacity (MW)'!J108*$C108)),"n/a")</f>
        <v/>
      </c>
      <c r="L108" s="37">
        <f>IFERROR(IF(OR(ISTEXT('Capacity (MW)'!K108),'Capacity (MW)'!K108=0,ISTEXT('Generation (TWh)'!L108)),"n/a",'Generation (TWh)'!L108*1000000/('Capacity (MW)'!K108*$C108)),"n/a")</f>
        <v/>
      </c>
      <c r="M108" s="37">
        <f>IFERROR(IF(OR(ISTEXT('Capacity (MW)'!L108),'Capacity (MW)'!L108=0,ISTEXT('Generation (TWh)'!M108)),"n/a",'Generation (TWh)'!M108*1000000/('Capacity (MW)'!L108*$C108)),"n/a")</f>
        <v/>
      </c>
      <c r="N108" s="38">
        <f>IFERROR(IF(OR(ISTEXT('Capacity (MW)'!M108),'Capacity (MW)'!M108=0,ISTEXT('Generation (TWh)'!N108)),"n/a",'Generation (TWh)'!N108*1000000/('Capacity (MW)'!M108*$C108)),"n/a")</f>
        <v/>
      </c>
      <c r="O108" s="37">
        <f>IFERROR(IF(OR(ISTEXT('Capacity (MW)'!N108),'Capacity (MW)'!N108=0,ISTEXT('Generation (TWh)'!O108)),"n/a",'Generation (TWh)'!O108*1000000/('Capacity (MW)'!N108*$C108)),"n/a")</f>
        <v/>
      </c>
      <c r="P108" s="37">
        <f>IFERROR(IF(OR(ISTEXT('Capacity (MW)'!O108),'Capacity (MW)'!O108=0,ISTEXT('Generation (TWh)'!P108)),"n/a",'Generation (TWh)'!P108*1000000/('Capacity (MW)'!O108*$C108)),"n/a")</f>
        <v/>
      </c>
    </row>
    <row r="109" ht="15" customHeight="1" s="22">
      <c r="A109" s="31" t="n">
        <v>2026</v>
      </c>
      <c r="B109" s="31" t="n">
        <v>1</v>
      </c>
      <c r="C109" s="31" t="n">
        <v>2160</v>
      </c>
      <c r="D109" s="37">
        <f>IFERROR(IF(OR(ISTEXT('Capacity (MW)'!C109),'Capacity (MW)'!C109=0,ISTEXT('Generation (TWh)'!D109)),"n/a",'Generation (TWh)'!D109*1000000/('Capacity (MW)'!C109*$C109)),"n/a")</f>
        <v/>
      </c>
      <c r="E109" s="37">
        <f>IFERROR(IF(OR(ISTEXT('Capacity (MW)'!D109),'Capacity (MW)'!D109=0,ISTEXT('Generation (TWh)'!E109)),"n/a",'Generation (TWh)'!E109*1000000/('Capacity (MW)'!D109*$C109)),"n/a")</f>
        <v/>
      </c>
      <c r="F109" s="37">
        <f>IFERROR(IF(OR(ISTEXT('Capacity (MW)'!E109),'Capacity (MW)'!E109=0,ISTEXT('Generation (TWh)'!F109)),"n/a",'Generation (TWh)'!F109*1000000/('Capacity (MW)'!E109*$C109)),"n/a")</f>
        <v/>
      </c>
      <c r="G109" s="37">
        <f>IFERROR(IF(OR(ISTEXT('Capacity (MW)'!F109),'Capacity (MW)'!F109=0,ISTEXT('Generation (TWh)'!G109)),"n/a",'Generation (TWh)'!G109*1000000/('Capacity (MW)'!F109*$C109)),"n/a")</f>
        <v/>
      </c>
      <c r="H109" s="37">
        <f>IFERROR(IF(OR(ISTEXT('Capacity (MW)'!G109),'Capacity (MW)'!G109=0,ISTEXT('Generation (TWh)'!H109)),"n/a",'Generation (TWh)'!H109*1000000/('Capacity (MW)'!G109*$C109)),"n/a")</f>
        <v/>
      </c>
      <c r="I109" s="37">
        <f>IFERROR(IF(OR(ISTEXT('Capacity (MW)'!H109),'Capacity (MW)'!H109=0,ISTEXT('Generation (TWh)'!I109)),"n/a",'Generation (TWh)'!I109*1000000/('Capacity (MW)'!H109*$C109)),"n/a")</f>
        <v/>
      </c>
      <c r="J109" s="37">
        <f>IFERROR(IF(OR(ISTEXT('Capacity (MW)'!I109),'Capacity (MW)'!I109=0,ISTEXT('Generation (TWh)'!J109)),"n/a",'Generation (TWh)'!J109*1000000/('Capacity (MW)'!I109*$C109)),"n/a")</f>
        <v/>
      </c>
      <c r="K109" s="37">
        <f>IFERROR(IF(OR(ISTEXT('Capacity (MW)'!J109),'Capacity (MW)'!J109=0,ISTEXT('Generation (TWh)'!K109)),"n/a",'Generation (TWh)'!K109*1000000/('Capacity (MW)'!J109*$C109)),"n/a")</f>
        <v/>
      </c>
      <c r="L109" s="37">
        <f>IFERROR(IF(OR(ISTEXT('Capacity (MW)'!K109),'Capacity (MW)'!K109=0,ISTEXT('Generation (TWh)'!L109)),"n/a",'Generation (TWh)'!L109*1000000/('Capacity (MW)'!K109*$C109)),"n/a")</f>
        <v/>
      </c>
      <c r="M109" s="37">
        <f>IFERROR(IF(OR(ISTEXT('Capacity (MW)'!L109),'Capacity (MW)'!L109=0,ISTEXT('Generation (TWh)'!M109)),"n/a",'Generation (TWh)'!M109*1000000/('Capacity (MW)'!L109*$C109)),"n/a")</f>
        <v/>
      </c>
      <c r="N109" s="38">
        <f>IFERROR(IF(OR(ISTEXT('Capacity (MW)'!M109),'Capacity (MW)'!M109=0,ISTEXT('Generation (TWh)'!N109)),"n/a",'Generation (TWh)'!N109*1000000/('Capacity (MW)'!M109*$C109)),"n/a")</f>
        <v/>
      </c>
      <c r="O109" s="37">
        <f>IFERROR(IF(OR(ISTEXT('Capacity (MW)'!N109),'Capacity (MW)'!N109=0,ISTEXT('Generation (TWh)'!O109)),"n/a",'Generation (TWh)'!O109*1000000/('Capacity (MW)'!N109*$C109)),"n/a")</f>
        <v/>
      </c>
      <c r="P109" s="37">
        <f>IFERROR(IF(OR(ISTEXT('Capacity (MW)'!O109),'Capacity (MW)'!O109=0,ISTEXT('Generation (TWh)'!P109)),"n/a",'Generation (TWh)'!P109*1000000/('Capacity (MW)'!O109*$C109)),"n/a")</f>
        <v/>
      </c>
    </row>
    <row r="111" ht="15" customHeight="1" s="22">
      <c r="A111" s="29" t="inlineStr">
        <is>
          <t>Red cells = flagged as unreliable (2024 coal capacity collapse; "Other fuels" category mismatch). See Cover sheet.</t>
        </is>
      </c>
    </row>
    <row r="112" ht="15" customHeight="1" s="22">
      <c r="A112" s="29" t="inlineStr">
        <is>
          <t>Formulas reference the Generation and Capacity sheets directly - recalculates automatically if source data is edited.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42"/>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8" customWidth="1" style="21" min="1" max="1"/>
    <col width="9" customWidth="1" style="21" min="2" max="2"/>
    <col width="16" customWidth="1" style="21" min="3" max="7"/>
  </cols>
  <sheetData>
    <row r="1" ht="17.35" customHeight="1" s="22">
      <c r="A1" s="28" t="inlineStr">
        <is>
          <t>GB System Balancing Constraint Costs (GBP) - Quarterly, by Category</t>
        </is>
      </c>
    </row>
    <row r="2" ht="210.4" customHeight="1" s="22">
      <c r="A2" s="34" t="inlineStr">
        <is>
          <t>Source: NESO "Constraint Breakdown" dataset (daily, aggregated to quarterly). Complete series, Q2 2017 to Q1 2026, no gaps. See Cover sheet.</t>
        </is>
      </c>
    </row>
    <row r="4" ht="35.05" customHeight="1" s="22">
      <c r="A4" s="30" t="inlineStr">
        <is>
          <t>Year</t>
        </is>
      </c>
      <c r="B4" s="30" t="inlineStr">
        <is>
          <t>Quarter</t>
        </is>
      </c>
      <c r="C4" s="30" t="inlineStr">
        <is>
          <t>Total cost (GBP)</t>
        </is>
      </c>
      <c r="D4" s="30" t="inlineStr">
        <is>
          <t>Thermal constraints cost</t>
        </is>
      </c>
      <c r="E4" s="30" t="inlineStr">
        <is>
          <t>Voltage constraints cost</t>
        </is>
      </c>
      <c r="F4" s="30" t="inlineStr">
        <is>
          <t>Increasing system inertia cost</t>
        </is>
      </c>
      <c r="G4" s="30" t="inlineStr">
        <is>
          <t>Reducing largest loss cost</t>
        </is>
      </c>
    </row>
    <row r="5" ht="15" customHeight="1" s="22">
      <c r="A5" s="31" t="n">
        <v>2017</v>
      </c>
      <c r="B5" s="31" t="n">
        <v>2</v>
      </c>
      <c r="C5" s="39" t="n">
        <v>96639084</v>
      </c>
      <c r="D5" s="39" t="n">
        <v>70605838</v>
      </c>
      <c r="E5" s="39" t="n">
        <v>9347962</v>
      </c>
      <c r="F5" s="39" t="n">
        <v>37001</v>
      </c>
      <c r="G5" s="39" t="n">
        <v>16648283</v>
      </c>
    </row>
    <row r="6" ht="15" customHeight="1" s="22">
      <c r="A6" s="31" t="n">
        <v>2017</v>
      </c>
      <c r="B6" s="31" t="n">
        <v>3</v>
      </c>
      <c r="C6" s="39" t="n">
        <v>99005499</v>
      </c>
      <c r="D6" s="39" t="n">
        <v>67188174</v>
      </c>
      <c r="E6" s="39" t="n">
        <v>11362939</v>
      </c>
      <c r="F6" s="39" t="n">
        <v>974626</v>
      </c>
      <c r="G6" s="39" t="n">
        <v>19479760</v>
      </c>
    </row>
    <row r="7" ht="15" customHeight="1" s="22">
      <c r="A7" s="31" t="n">
        <v>2017</v>
      </c>
      <c r="B7" s="31" t="n">
        <v>4</v>
      </c>
      <c r="C7" s="39" t="n">
        <v>141449810</v>
      </c>
      <c r="D7" s="39" t="n">
        <v>120416164</v>
      </c>
      <c r="E7" s="39" t="n">
        <v>5897635</v>
      </c>
      <c r="F7" s="39" t="n">
        <v>1200061</v>
      </c>
      <c r="G7" s="39" t="n">
        <v>13935950</v>
      </c>
    </row>
    <row r="8" ht="15" customHeight="1" s="22">
      <c r="A8" s="31" t="n">
        <v>2018</v>
      </c>
      <c r="B8" s="31" t="n">
        <v>1</v>
      </c>
      <c r="C8" s="39" t="n">
        <v>59791954</v>
      </c>
      <c r="D8" s="39" t="n">
        <v>51186029</v>
      </c>
      <c r="E8" s="39" t="n">
        <v>1703322</v>
      </c>
      <c r="F8" s="39" t="n">
        <v>526134</v>
      </c>
      <c r="G8" s="39" t="n">
        <v>6376469</v>
      </c>
    </row>
    <row r="9" ht="15" customHeight="1" s="22">
      <c r="A9" s="31" t="n">
        <v>2018</v>
      </c>
      <c r="B9" s="31" t="n">
        <v>2</v>
      </c>
      <c r="C9" s="39" t="n">
        <v>94027313</v>
      </c>
      <c r="D9" s="39" t="n">
        <v>64427301</v>
      </c>
      <c r="E9" s="39" t="n">
        <v>5107434</v>
      </c>
      <c r="F9" s="39" t="n">
        <v>246688</v>
      </c>
      <c r="G9" s="39" t="n">
        <v>24245890</v>
      </c>
    </row>
    <row r="10" ht="15" customHeight="1" s="22">
      <c r="A10" s="31" t="n">
        <v>2018</v>
      </c>
      <c r="B10" s="31" t="n">
        <v>3</v>
      </c>
      <c r="C10" s="39" t="n">
        <v>174710142</v>
      </c>
      <c r="D10" s="39" t="n">
        <v>125881585</v>
      </c>
      <c r="E10" s="39" t="n">
        <v>6077618</v>
      </c>
      <c r="F10" s="39" t="n">
        <v>1113292</v>
      </c>
      <c r="G10" s="39" t="n">
        <v>41637647</v>
      </c>
    </row>
    <row r="11" ht="15" customHeight="1" s="22">
      <c r="A11" s="31" t="n">
        <v>2018</v>
      </c>
      <c r="B11" s="31" t="n">
        <v>4</v>
      </c>
      <c r="C11" s="39" t="n">
        <v>185266979</v>
      </c>
      <c r="D11" s="39" t="n">
        <v>140081900</v>
      </c>
      <c r="E11" s="39" t="n">
        <v>4042812</v>
      </c>
      <c r="F11" s="39" t="n">
        <v>498770</v>
      </c>
      <c r="G11" s="39" t="n">
        <v>40643497</v>
      </c>
    </row>
    <row r="12" ht="15" customHeight="1" s="22">
      <c r="A12" s="31" t="n">
        <v>2019</v>
      </c>
      <c r="B12" s="31" t="n">
        <v>1</v>
      </c>
      <c r="C12" s="39" t="n">
        <v>161184352</v>
      </c>
      <c r="D12" s="39" t="n">
        <v>117801129</v>
      </c>
      <c r="E12" s="39" t="n">
        <v>8168507</v>
      </c>
      <c r="F12" s="39" t="n">
        <v>3615560</v>
      </c>
      <c r="G12" s="39" t="n">
        <v>31599156</v>
      </c>
    </row>
    <row r="13" ht="15" customHeight="1" s="22">
      <c r="A13" s="31" t="n">
        <v>2019</v>
      </c>
      <c r="B13" s="31" t="n">
        <v>2</v>
      </c>
      <c r="C13" s="39" t="n">
        <v>105048963</v>
      </c>
      <c r="D13" s="39" t="n">
        <v>52104517</v>
      </c>
      <c r="E13" s="39" t="n">
        <v>12276067</v>
      </c>
      <c r="F13" s="39" t="n">
        <v>2315583</v>
      </c>
      <c r="G13" s="39" t="n">
        <v>38352796</v>
      </c>
    </row>
    <row r="14" ht="15" customHeight="1" s="22">
      <c r="A14" s="31" t="n">
        <v>2019</v>
      </c>
      <c r="B14" s="31" t="n">
        <v>3</v>
      </c>
      <c r="C14" s="39" t="n">
        <v>139278403</v>
      </c>
      <c r="D14" s="39" t="n">
        <v>61981910</v>
      </c>
      <c r="E14" s="39" t="n">
        <v>29697961</v>
      </c>
      <c r="F14" s="39" t="n">
        <v>1115333</v>
      </c>
      <c r="G14" s="39" t="n">
        <v>46483199</v>
      </c>
    </row>
    <row r="15" ht="15" customHeight="1" s="22">
      <c r="A15" s="31" t="n">
        <v>2019</v>
      </c>
      <c r="B15" s="31" t="n">
        <v>4</v>
      </c>
      <c r="C15" s="39" t="n">
        <v>179690482</v>
      </c>
      <c r="D15" s="39" t="n">
        <v>116306466</v>
      </c>
      <c r="E15" s="39" t="n">
        <v>12261692</v>
      </c>
      <c r="F15" s="39" t="n">
        <v>280817</v>
      </c>
      <c r="G15" s="39" t="n">
        <v>50841507</v>
      </c>
    </row>
    <row r="16" ht="15" customHeight="1" s="22">
      <c r="A16" s="31" t="n">
        <v>2020</v>
      </c>
      <c r="B16" s="31" t="n">
        <v>1</v>
      </c>
      <c r="C16" s="39" t="n">
        <v>266831654</v>
      </c>
      <c r="D16" s="39" t="n">
        <v>189259707</v>
      </c>
      <c r="E16" s="39" t="n">
        <v>6039716</v>
      </c>
      <c r="F16" s="39" t="n">
        <v>1862445</v>
      </c>
      <c r="G16" s="39" t="n">
        <v>69669786</v>
      </c>
    </row>
    <row r="17" ht="15" customHeight="1" s="22">
      <c r="A17" s="31" t="n">
        <v>2020</v>
      </c>
      <c r="B17" s="31" t="n">
        <v>2</v>
      </c>
      <c r="C17" s="39" t="n">
        <v>236224237</v>
      </c>
      <c r="D17" s="39" t="n">
        <v>78917182</v>
      </c>
      <c r="E17" s="39" t="n">
        <v>41434021</v>
      </c>
      <c r="F17" s="39" t="n">
        <v>13800836</v>
      </c>
      <c r="G17" s="39" t="n">
        <v>102072198</v>
      </c>
    </row>
    <row r="18" ht="15" customHeight="1" s="22">
      <c r="A18" s="31" t="n">
        <v>2020</v>
      </c>
      <c r="B18" s="31" t="n">
        <v>3</v>
      </c>
      <c r="C18" s="39" t="n">
        <v>207227824</v>
      </c>
      <c r="D18" s="39" t="n">
        <v>97816917</v>
      </c>
      <c r="E18" s="39" t="n">
        <v>16758923</v>
      </c>
      <c r="F18" s="39" t="n">
        <v>8679567</v>
      </c>
      <c r="G18" s="39" t="n">
        <v>83972417</v>
      </c>
    </row>
    <row r="19" ht="15" customHeight="1" s="22">
      <c r="A19" s="31" t="n">
        <v>2020</v>
      </c>
      <c r="B19" s="31" t="n">
        <v>4</v>
      </c>
      <c r="C19" s="39" t="n">
        <v>312606394</v>
      </c>
      <c r="D19" s="39" t="n">
        <v>230070326</v>
      </c>
      <c r="E19" s="39" t="n">
        <v>11888599</v>
      </c>
      <c r="F19" s="39" t="n">
        <v>1670269</v>
      </c>
      <c r="G19" s="39" t="n">
        <v>68977200</v>
      </c>
    </row>
    <row r="20" ht="15" customHeight="1" s="22">
      <c r="A20" s="31" t="n">
        <v>2021</v>
      </c>
      <c r="B20" s="31" t="n">
        <v>1</v>
      </c>
      <c r="C20" s="39" t="n">
        <v>215324917</v>
      </c>
      <c r="D20" s="39" t="n">
        <v>139417150</v>
      </c>
      <c r="E20" s="39" t="n">
        <v>7153810</v>
      </c>
      <c r="F20" s="39" t="n">
        <v>3103617</v>
      </c>
      <c r="G20" s="39" t="n">
        <v>65650340</v>
      </c>
    </row>
    <row r="21" ht="15" customHeight="1" s="22">
      <c r="A21" s="31" t="n">
        <v>2021</v>
      </c>
      <c r="B21" s="31" t="n">
        <v>2</v>
      </c>
      <c r="C21" s="39" t="n">
        <v>129369426</v>
      </c>
      <c r="D21" s="39" t="n">
        <v>46856624</v>
      </c>
      <c r="E21" s="39" t="n">
        <v>14380411</v>
      </c>
      <c r="F21" s="39" t="n">
        <v>2731135</v>
      </c>
      <c r="G21" s="39" t="n">
        <v>65401256</v>
      </c>
    </row>
    <row r="22" ht="15" customHeight="1" s="22">
      <c r="A22" s="31" t="n">
        <v>2021</v>
      </c>
      <c r="B22" s="31" t="n">
        <v>3</v>
      </c>
      <c r="C22" s="39" t="n">
        <v>97772409</v>
      </c>
      <c r="D22" s="39" t="n">
        <v>31249584</v>
      </c>
      <c r="E22" s="39" t="n">
        <v>22574077</v>
      </c>
      <c r="F22" s="39" t="n">
        <v>4912823</v>
      </c>
      <c r="G22" s="39" t="n">
        <v>39035925</v>
      </c>
    </row>
    <row r="23" ht="15" customHeight="1" s="22">
      <c r="A23" s="31" t="n">
        <v>2021</v>
      </c>
      <c r="B23" s="31" t="n">
        <v>4</v>
      </c>
      <c r="C23" s="40" t="n">
        <v>697335847</v>
      </c>
      <c r="D23" s="40" t="n">
        <v>626654685</v>
      </c>
      <c r="E23" s="40" t="n">
        <v>40389774</v>
      </c>
      <c r="F23" s="40" t="n">
        <v>20130407</v>
      </c>
      <c r="G23" s="40" t="n">
        <v>10160981</v>
      </c>
    </row>
    <row r="24" ht="15" customHeight="1" s="22">
      <c r="A24" s="31" t="n">
        <v>2022</v>
      </c>
      <c r="B24" s="31" t="n">
        <v>1</v>
      </c>
      <c r="C24" s="39" t="n">
        <v>495784315</v>
      </c>
      <c r="D24" s="39" t="n">
        <v>429479444</v>
      </c>
      <c r="E24" s="39" t="n">
        <v>33878950</v>
      </c>
      <c r="F24" s="39" t="n">
        <v>32392154</v>
      </c>
      <c r="G24" s="39" t="n">
        <v>33767</v>
      </c>
    </row>
    <row r="25" ht="15" customHeight="1" s="22">
      <c r="A25" s="31" t="n">
        <v>2022</v>
      </c>
      <c r="B25" s="31" t="n">
        <v>2</v>
      </c>
      <c r="C25" s="39" t="n">
        <v>334876979</v>
      </c>
      <c r="D25" s="39" t="n">
        <v>301538072</v>
      </c>
      <c r="E25" s="39" t="n">
        <v>18064049</v>
      </c>
      <c r="F25" s="39" t="n">
        <v>12604921</v>
      </c>
      <c r="G25" s="39" t="n">
        <v>2669937</v>
      </c>
    </row>
    <row r="26" ht="15" customHeight="1" s="22">
      <c r="A26" s="31" t="n">
        <v>2022</v>
      </c>
      <c r="B26" s="31" t="n">
        <v>3</v>
      </c>
      <c r="C26" s="39" t="n">
        <v>490180874</v>
      </c>
      <c r="D26" s="39" t="n">
        <v>470399418</v>
      </c>
      <c r="E26" s="39" t="n">
        <v>7485227</v>
      </c>
      <c r="F26" s="39" t="n">
        <v>9599636</v>
      </c>
      <c r="G26" s="39" t="n">
        <v>2696593</v>
      </c>
    </row>
    <row r="27" ht="15" customHeight="1" s="22">
      <c r="A27" s="31" t="n">
        <v>2022</v>
      </c>
      <c r="B27" s="31" t="n">
        <v>4</v>
      </c>
      <c r="C27" s="39" t="n">
        <v>615016784</v>
      </c>
      <c r="D27" s="39" t="n">
        <v>507950540</v>
      </c>
      <c r="E27" s="39" t="n">
        <v>56974554</v>
      </c>
      <c r="F27" s="39" t="n">
        <v>49913156</v>
      </c>
      <c r="G27" s="39" t="n">
        <v>178534</v>
      </c>
    </row>
    <row r="28" ht="15" customHeight="1" s="22">
      <c r="A28" s="31" t="n">
        <v>2023</v>
      </c>
      <c r="B28" s="31" t="n">
        <v>1</v>
      </c>
      <c r="C28" s="39" t="n">
        <v>314207713</v>
      </c>
      <c r="D28" s="39" t="n">
        <v>223624805</v>
      </c>
      <c r="E28" s="39" t="n">
        <v>58860938</v>
      </c>
      <c r="F28" s="39" t="n">
        <v>31721970</v>
      </c>
      <c r="G28" s="39" t="n">
        <v>0</v>
      </c>
    </row>
    <row r="29" ht="15" customHeight="1" s="22">
      <c r="A29" s="31" t="n">
        <v>2023</v>
      </c>
      <c r="B29" s="31" t="n">
        <v>2</v>
      </c>
      <c r="C29" s="39" t="n">
        <v>196915227</v>
      </c>
      <c r="D29" s="39" t="n">
        <v>140504642</v>
      </c>
      <c r="E29" s="39" t="n">
        <v>41727688</v>
      </c>
      <c r="F29" s="39" t="n">
        <v>14682897</v>
      </c>
      <c r="G29" s="39" t="n">
        <v>0</v>
      </c>
    </row>
    <row r="30" ht="15" customHeight="1" s="22">
      <c r="A30" s="31" t="n">
        <v>2023</v>
      </c>
      <c r="B30" s="31" t="n">
        <v>3</v>
      </c>
      <c r="C30" s="39" t="n">
        <v>369941734</v>
      </c>
      <c r="D30" s="39" t="n">
        <v>258098626</v>
      </c>
      <c r="E30" s="39" t="n">
        <v>70922083</v>
      </c>
      <c r="F30" s="39" t="n">
        <v>40933676</v>
      </c>
      <c r="G30" s="39" t="n">
        <v>-12651</v>
      </c>
    </row>
    <row r="31" ht="15" customHeight="1" s="22">
      <c r="A31" s="31" t="n">
        <v>2023</v>
      </c>
      <c r="B31" s="31" t="n">
        <v>4</v>
      </c>
      <c r="C31" s="39" t="n">
        <v>474908925</v>
      </c>
      <c r="D31" s="39" t="n">
        <v>358360039</v>
      </c>
      <c r="E31" s="39" t="n">
        <v>94419593</v>
      </c>
      <c r="F31" s="39" t="n">
        <v>22129293</v>
      </c>
      <c r="G31" s="39" t="n">
        <v>0</v>
      </c>
    </row>
    <row r="32" ht="15" customHeight="1" s="22">
      <c r="A32" s="31" t="n">
        <v>2024</v>
      </c>
      <c r="B32" s="31" t="n">
        <v>1</v>
      </c>
      <c r="C32" s="39" t="n">
        <v>348702946</v>
      </c>
      <c r="D32" s="39" t="n">
        <v>282643764</v>
      </c>
      <c r="E32" s="39" t="n">
        <v>61218117</v>
      </c>
      <c r="F32" s="39" t="n">
        <v>4841065</v>
      </c>
      <c r="G32" s="39" t="n">
        <v>0</v>
      </c>
    </row>
    <row r="33" ht="15" customHeight="1" s="22">
      <c r="A33" s="31" t="n">
        <v>2024</v>
      </c>
      <c r="B33" s="31" t="n">
        <v>2</v>
      </c>
      <c r="C33" s="39" t="n">
        <v>350209611</v>
      </c>
      <c r="D33" s="39" t="n">
        <v>262471398</v>
      </c>
      <c r="E33" s="39" t="n">
        <v>76007459</v>
      </c>
      <c r="F33" s="39" t="n">
        <v>11730754</v>
      </c>
      <c r="G33" s="39" t="n">
        <v>0</v>
      </c>
    </row>
    <row r="34" ht="15" customHeight="1" s="22">
      <c r="A34" s="31" t="n">
        <v>2024</v>
      </c>
      <c r="B34" s="31" t="n">
        <v>3</v>
      </c>
      <c r="C34" s="39" t="n">
        <v>396558453</v>
      </c>
      <c r="D34" s="39" t="n">
        <v>336629327</v>
      </c>
      <c r="E34" s="39" t="n">
        <v>39458574</v>
      </c>
      <c r="F34" s="39" t="n">
        <v>20470552</v>
      </c>
      <c r="G34" s="39" t="n">
        <v>0</v>
      </c>
    </row>
    <row r="35" ht="15" customHeight="1" s="22">
      <c r="A35" s="31" t="n">
        <v>2024</v>
      </c>
      <c r="B35" s="31" t="n">
        <v>4</v>
      </c>
      <c r="C35" s="39" t="n">
        <v>631683311</v>
      </c>
      <c r="D35" s="39" t="n">
        <v>600721970</v>
      </c>
      <c r="E35" s="39" t="n">
        <v>24897512</v>
      </c>
      <c r="F35" s="39" t="n">
        <v>6063829</v>
      </c>
      <c r="G35" s="39" t="n">
        <v>0</v>
      </c>
    </row>
    <row r="36" ht="15" customHeight="1" s="22">
      <c r="A36" s="31" t="n">
        <v>2025</v>
      </c>
      <c r="B36" s="31" t="n">
        <v>1</v>
      </c>
      <c r="C36" s="39" t="n">
        <v>526178378</v>
      </c>
      <c r="D36" s="39" t="n">
        <v>510181360</v>
      </c>
      <c r="E36" s="39" t="n">
        <v>13488385</v>
      </c>
      <c r="F36" s="39" t="n">
        <v>2508633</v>
      </c>
      <c r="G36" s="39" t="n">
        <v>0</v>
      </c>
    </row>
    <row r="37" ht="15" customHeight="1" s="22">
      <c r="A37" s="31" t="n">
        <v>2025</v>
      </c>
      <c r="B37" s="31" t="n">
        <v>2</v>
      </c>
      <c r="C37" s="39" t="n">
        <v>439586820</v>
      </c>
      <c r="D37" s="39" t="n">
        <v>323921217</v>
      </c>
      <c r="E37" s="39" t="n">
        <v>94120330</v>
      </c>
      <c r="F37" s="39" t="n">
        <v>21545273</v>
      </c>
      <c r="G37" s="39" t="n">
        <v>0</v>
      </c>
    </row>
    <row r="38" ht="15" customHeight="1" s="22">
      <c r="A38" s="31" t="n">
        <v>2025</v>
      </c>
      <c r="B38" s="31" t="n">
        <v>3</v>
      </c>
      <c r="C38" s="39" t="n">
        <v>493690385</v>
      </c>
      <c r="D38" s="39" t="n">
        <v>436189382</v>
      </c>
      <c r="E38" s="39" t="n">
        <v>42860039</v>
      </c>
      <c r="F38" s="39" t="n">
        <v>14640964</v>
      </c>
      <c r="G38" s="39" t="n">
        <v>0</v>
      </c>
    </row>
    <row r="39" ht="15" customHeight="1" s="22">
      <c r="A39" s="31" t="n">
        <v>2025</v>
      </c>
      <c r="B39" s="31" t="n">
        <v>4</v>
      </c>
      <c r="C39" s="39" t="n">
        <v>610250024</v>
      </c>
      <c r="D39" s="39" t="n">
        <v>560612809</v>
      </c>
      <c r="E39" s="39" t="n">
        <v>45693566</v>
      </c>
      <c r="F39" s="39" t="n">
        <v>3943649</v>
      </c>
      <c r="G39" s="39" t="n">
        <v>0</v>
      </c>
    </row>
    <row r="40" ht="15" customHeight="1" s="22">
      <c r="A40" s="31" t="n">
        <v>2026</v>
      </c>
      <c r="B40" s="31" t="n">
        <v>1</v>
      </c>
      <c r="C40" s="39" t="n">
        <v>666293008</v>
      </c>
      <c r="D40" s="39" t="n">
        <v>635326343</v>
      </c>
      <c r="E40" s="39" t="n">
        <v>29689800</v>
      </c>
      <c r="F40" s="39" t="n">
        <v>1276865</v>
      </c>
      <c r="G40" s="39" t="n">
        <v>0</v>
      </c>
    </row>
    <row r="42" ht="15" customHeight="1" s="22">
      <c r="A42" s="29" t="inlineStr">
        <is>
          <t>Complete series, no gaps. Red = Q4 2021, an unusually large cost spike (£697m) - flagged, not smoothed. See Cover sheet.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2026-07-02T22:18:33Z</dcterms:created>
  <dcterms:modified xsi:type="dcterms:W3CDTF">2026-07-07T22:53:58Z</dcterms:modified>
  <cp:revision>0</cp:revision>
</cp:coreProperties>
</file>